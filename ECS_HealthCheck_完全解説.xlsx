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表紙" sheetId="1" state="visible" r:id="rId1"/>
    <sheet name="01_読み方" sheetId="2" state="visible" r:id="rId2"/>
    <sheet name="02_全体地図" sheetId="3" state="visible" r:id="rId3"/>
    <sheet name="03_歴史" sheetId="4" state="visible" r:id="rId4"/>
    <sheet name="04_三人の検査" sheetId="5" state="visible" r:id="rId5"/>
    <sheet name="05_コンテナHC" sheetId="6" state="visible" r:id="rId6"/>
    <sheet name="06_ALBとNLB" sheetId="7" state="visible" r:id="rId7"/>
    <sheet name="07_サービス設定" sheetId="8" state="visible" r:id="rId8"/>
    <sheet name="08_状態遷移" sheetId="9" state="visible" r:id="rId9"/>
    <sheet name="09_置換の条件" sheetId="10" state="visible" r:id="rId10"/>
    <sheet name="10_新タスクが残る" sheetId="11" state="visible" r:id="rId11"/>
    <sheet name="11_人数制限" sheetId="12" state="visible" r:id="rId12"/>
    <sheet name="12_サーキットブレーカー" sheetId="13" state="visible" r:id="rId13"/>
    <sheet name="13_アラームと戦略" sheetId="14" state="visible" r:id="rId14"/>
    <sheet name="14_時間の計算" sheetId="15" state="visible" r:id="rId15"/>
    <sheet name="15_切り分け" sheetId="16" state="visible" r:id="rId16"/>
    <sheet name="16_用語" sheetId="17" state="visible" r:id="rId17"/>
    <sheet name="17_参照" sheetId="18" state="visible" r:id="rId18"/>
  </sheets>
  <definedNames>
    <definedName name="DesiredCount">'14_時間の計算'!$B$4</definedName>
    <definedName name="ThresholdType">'14_時間の計算'!$B$19</definedName>
    <definedName name="_xlnm.Print_Titles" localSheetId="0">'00_表紙'!$14:$14</definedName>
    <definedName name="_xlnm._FilterDatabase" localSheetId="1" hidden="1">'01_読み方'!$A$4:$E$9</definedName>
    <definedName name="_xlnm.Print_Titles" localSheetId="1">'01_読み方'!$1:$4</definedName>
    <definedName name="_xlnm._FilterDatabase" localSheetId="2" hidden="1">'02_全体地図'!$A$4:$F$17</definedName>
    <definedName name="_xlnm.Print_Titles" localSheetId="2">'02_全体地図'!$1:$4</definedName>
    <definedName name="_xlnm._FilterDatabase" localSheetId="3" hidden="1">'03_歴史'!$A$4:$F$21</definedName>
    <definedName name="_xlnm.Print_Titles" localSheetId="3">'03_歴史'!$1:$4</definedName>
    <definedName name="_xlnm._FilterDatabase" localSheetId="4" hidden="1">'04_三人の検査'!$A$4:$F$14</definedName>
    <definedName name="_xlnm.Print_Titles" localSheetId="4">'04_三人の検査'!$1:$4</definedName>
    <definedName name="_xlnm._FilterDatabase" localSheetId="5" hidden="1">'05_コンテナHC'!$A$4:$G$22</definedName>
    <definedName name="_xlnm.Print_Titles" localSheetId="5">'05_コンテナHC'!$1:$4</definedName>
    <definedName name="_xlnm._FilterDatabase" localSheetId="6" hidden="1">'06_ALBとNLB'!$A$4:$F$22</definedName>
    <definedName name="_xlnm.Print_Titles" localSheetId="6">'06_ALBとNLB'!$1:$4</definedName>
    <definedName name="_xlnm._FilterDatabase" localSheetId="7" hidden="1">'07_サービス設定'!$A$4:$G$28</definedName>
    <definedName name="_xlnm.Print_Titles" localSheetId="7">'07_サービス設定'!$1:$4</definedName>
    <definedName name="_xlnm._FilterDatabase" localSheetId="8" hidden="1">'08_状態遷移'!$A$4:$F$21</definedName>
    <definedName name="_xlnm.Print_Titles" localSheetId="8">'08_状態遷移'!$1:$4</definedName>
    <definedName name="_xlnm._FilterDatabase" localSheetId="9" hidden="1">'09_置換の条件'!$A$4:$F$14</definedName>
    <definedName name="_xlnm.Print_Titles" localSheetId="9">'09_置換の条件'!$1:$4</definedName>
    <definedName name="_xlnm._FilterDatabase" localSheetId="10" hidden="1">'10_新タスクが残る'!$A$4:$F$14</definedName>
    <definedName name="_xlnm.Print_Titles" localSheetId="10">'10_新タスクが残る'!$1:$4</definedName>
    <definedName name="_xlnm._FilterDatabase" localSheetId="11" hidden="1">'11_人数制限'!$A$4:$I$15</definedName>
    <definedName name="_xlnm.Print_Titles" localSheetId="11">'11_人数制限'!$1:$4</definedName>
    <definedName name="_xlnm._FilterDatabase" localSheetId="12" hidden="1">'12_サーキットブレーカー'!$A$4:$E$24</definedName>
    <definedName name="_xlnm.Print_Titles" localSheetId="12">'12_サーキットブレーカー'!$1:$4</definedName>
    <definedName name="_xlnm._FilterDatabase" localSheetId="13" hidden="1">'13_アラームと戦略'!$A$4:$F$16</definedName>
    <definedName name="_xlnm.Print_Titles" localSheetId="13">'13_アラームと戦略'!$1:$4</definedName>
    <definedName name="_xlnm._FilterDatabase" localSheetId="14" hidden="1">'14_時間の計算'!$A$22:$E$62</definedName>
    <definedName name="_xlnm.Print_Titles" localSheetId="14">'14_時間の計算'!$22:$22</definedName>
    <definedName name="_xlnm._FilterDatabase" localSheetId="15" hidden="1">'15_切り分け'!$A$4:$E$24</definedName>
    <definedName name="_xlnm.Print_Titles" localSheetId="15">'15_切り分け'!$1:$4</definedName>
    <definedName name="_xlnm._FilterDatabase" localSheetId="16" hidden="1">'16_用語'!$A$4:$D$36</definedName>
    <definedName name="_xlnm.Print_Titles" localSheetId="16">'16_用語'!$1:$4</definedName>
    <definedName name="_xlnm._FilterDatabase" localSheetId="17" hidden="1">'17_参照'!$A$4:$F$28</definedName>
    <definedName name="_xlnm.Print_Titles" localSheetId="17">'17_参照'!$1:$4</definedName>
  </definedNames>
  <calcPr calcId="124519" calcMode="auto" fullCalcOnLoad="1"/>
</workbook>
</file>

<file path=xl/styles.xml><?xml version="1.0" encoding="utf-8"?>
<styleSheet xmlns="http://schemas.openxmlformats.org/spreadsheetml/2006/main">
  <numFmts count="0"/>
  <fonts count="15">
    <font>
      <name val="Calibri"/>
      <family val="2"/>
      <color theme="1"/>
      <sz val="11"/>
      <scheme val="minor"/>
    </font>
    <font>
      <name val="Meiryo UI"/>
      <color rgb="001F1F1F"/>
      <sz val="11"/>
    </font>
    <font>
      <name val="Meiryo UI"/>
      <color rgb="005C5C5C"/>
      <sz val="14"/>
    </font>
    <font>
      <name val="Meiryo UI"/>
      <b val="1"/>
      <color rgb="001A1A1A"/>
      <sz val="26"/>
    </font>
    <font>
      <name val="Meiryo UI"/>
      <color rgb="003A3A3A"/>
      <sz val="12"/>
    </font>
    <font>
      <name val="Meiryo UI"/>
      <b val="1"/>
      <color rgb="00F5F5F5"/>
      <sz val="10"/>
    </font>
    <font>
      <name val="Meiryo UI"/>
      <color rgb="001F1F1F"/>
      <sz val="10"/>
    </font>
    <font>
      <name val="Meiryo UI"/>
      <b val="1"/>
      <color rgb="001F1F1F"/>
      <sz val="14"/>
    </font>
    <font>
      <name val="Meiryo UI"/>
      <b val="1"/>
      <color rgb="001F1F1F"/>
      <sz val="10"/>
    </font>
    <font>
      <name val="Meiryo UI"/>
      <b val="1"/>
      <color rgb="001A1A1A"/>
      <sz val="18"/>
    </font>
    <font>
      <name val="Meiryo UI"/>
      <color rgb="005C5C5C"/>
      <sz val="10"/>
    </font>
    <font>
      <name val="Meiryo UI"/>
      <b val="1"/>
      <color rgb="001F1F1F"/>
      <sz val="18"/>
    </font>
    <font>
      <name val="Meiryo UI"/>
      <b val="1"/>
      <color rgb="001F1F1F"/>
      <sz val="12"/>
    </font>
    <font>
      <name val="Meiryo UI"/>
      <color rgb="005C5C5C"/>
      <sz val="9"/>
    </font>
    <font>
      <name val="Meiryo UI"/>
      <b val="1"/>
      <color rgb="001F1F1F"/>
      <sz val="11"/>
    </font>
  </fonts>
  <fills count="9">
    <fill>
      <patternFill/>
    </fill>
    <fill>
      <patternFill patternType="gray125"/>
    </fill>
    <fill>
      <patternFill patternType="solid">
        <fgColor rgb="00FFFFFF"/>
      </patternFill>
    </fill>
    <fill>
      <patternFill patternType="solid">
        <fgColor rgb="002C2C2C"/>
      </patternFill>
    </fill>
    <fill>
      <patternFill patternType="solid">
        <fgColor rgb="00F7F7F7"/>
      </patternFill>
    </fill>
    <fill>
      <patternFill patternType="solid">
        <fgColor rgb="00D9D9D9"/>
      </patternFill>
    </fill>
    <fill>
      <patternFill patternType="solid">
        <fgColor rgb="00EEEEEE"/>
      </patternFill>
    </fill>
    <fill>
      <patternFill patternType="solid">
        <fgColor rgb="00F3F3F3"/>
      </patternFill>
    </fill>
    <fill>
      <patternFill patternType="solid">
        <fgColor rgb="00EFEFEF"/>
      </patternFill>
    </fill>
  </fills>
  <borders count="7">
    <border>
      <left/>
      <right/>
      <top/>
      <bottom/>
      <diagonal/>
    </border>
    <border>
      <left style="thin">
        <color rgb="00BDBDBD"/>
      </left>
      <right style="thin">
        <color rgb="00BDBDBD"/>
      </right>
      <top style="thin">
        <color rgb="00BDBDBD"/>
      </top>
      <bottom style="thin">
        <color rgb="00BDBDBD"/>
      </bottom>
    </border>
    <border>
      <left style="thin">
        <color rgb="002C2C2C"/>
      </left>
      <right style="thin">
        <color rgb="002C2C2C"/>
      </right>
      <top style="thin">
        <color rgb="002C2C2C"/>
      </top>
      <bottom style="medium">
        <color rgb="001A1A1A"/>
      </bottom>
    </border>
    <border>
      <left style="medium">
        <color rgb="004A4A4A"/>
      </left>
      <right style="medium">
        <color rgb="004A4A4A"/>
      </right>
      <top style="medium">
        <color rgb="004A4A4A"/>
      </top>
      <bottom style="medium">
        <color rgb="004A4A4A"/>
      </bottom>
    </border>
    <border>
      <left/>
      <right/>
      <top style="thin">
        <color rgb="002C2C2C"/>
      </top>
      <bottom/>
      <diagonal/>
    </border>
    <border>
      <left/>
      <right style="thin">
        <color rgb="002C2C2C"/>
      </right>
      <top style="thin">
        <color rgb="002C2C2C"/>
      </top>
      <bottom/>
      <diagonal/>
    </border>
    <border>
      <left/>
      <right style="thin">
        <color rgb="002C2C2C"/>
      </right>
      <top style="thin">
        <color rgb="002C2C2C"/>
      </top>
      <bottom style="medium">
        <color rgb="001A1A1A"/>
      </bottom>
      <diagonal/>
    </border>
  </borders>
  <cellStyleXfs count="1">
    <xf numFmtId="0" fontId="1" fillId="0" borderId="0" applyAlignment="1">
      <alignment vertical="center"/>
    </xf>
  </cellStyleXfs>
  <cellXfs count="48">
    <xf numFmtId="0" fontId="0" fillId="0" borderId="0" pivotButton="0" quotePrefix="0" xfId="0"/>
    <xf numFmtId="0" fontId="1" fillId="2" borderId="0" pivotButton="0" quotePrefix="0" xfId="0"/>
    <xf numFmtId="0" fontId="2" fillId="2" borderId="0" applyAlignment="1" pivotButton="0" quotePrefix="0" xfId="0">
      <alignment horizontal="left" vertical="center" wrapText="1"/>
    </xf>
    <xf numFmtId="0" fontId="3" fillId="2"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horizontal="left" vertical="center" wrapText="1"/>
    </xf>
    <xf numFmtId="0" fontId="6" fillId="4" borderId="1" applyAlignment="1" pivotButton="0" quotePrefix="0" xfId="0">
      <alignment horizontal="left" vertical="center" wrapText="1"/>
    </xf>
    <xf numFmtId="0" fontId="0" fillId="4" borderId="1" pivotButton="0" quotePrefix="0" xfId="0"/>
    <xf numFmtId="0" fontId="7" fillId="2" borderId="0" pivotButton="0" quotePrefix="0" xfId="0"/>
    <xf numFmtId="0" fontId="5" fillId="3" borderId="2" applyAlignment="1" pivotButton="0" quotePrefix="0" xfId="0">
      <alignment horizontal="center" vertical="center" wrapText="1"/>
    </xf>
    <xf numFmtId="0" fontId="5" fillId="3" borderId="2" pivotButton="0" quotePrefix="0" xfId="0"/>
    <xf numFmtId="0" fontId="8" fillId="2" borderId="1" applyAlignment="1" pivotButton="0" quotePrefix="0" xfId="0">
      <alignment horizontal="left" vertical="center" wrapText="1"/>
    </xf>
    <xf numFmtId="0" fontId="6" fillId="2" borderId="1" applyAlignment="1" pivotButton="0" quotePrefix="0" xfId="0">
      <alignment horizontal="left" vertical="center" wrapText="1"/>
    </xf>
    <xf numFmtId="0" fontId="0" fillId="2" borderId="1" applyAlignment="1" pivotButton="0" quotePrefix="0" xfId="0">
      <alignment horizontal="left" vertical="center" wrapText="1"/>
    </xf>
    <xf numFmtId="0" fontId="8" fillId="4" borderId="1" applyAlignment="1" pivotButton="0" quotePrefix="0" xfId="0">
      <alignment horizontal="left" vertical="center" wrapText="1"/>
    </xf>
    <xf numFmtId="0" fontId="0" fillId="4" borderId="1" applyAlignment="1" pivotButton="0" quotePrefix="0" xfId="0">
      <alignment horizontal="left" vertical="center" wrapText="1"/>
    </xf>
    <xf numFmtId="0" fontId="6" fillId="2" borderId="0" applyAlignment="1" pivotButton="0" quotePrefix="0" xfId="0">
      <alignment vertical="top" wrapText="1"/>
    </xf>
    <xf numFmtId="0" fontId="9" fillId="2" borderId="0" applyAlignment="1" pivotButton="0" quotePrefix="0" xfId="0">
      <alignment horizontal="left" vertical="center" wrapText="1"/>
    </xf>
    <xf numFmtId="0" fontId="0" fillId="2" borderId="0" pivotButton="0" quotePrefix="0" xfId="0"/>
    <xf numFmtId="0" fontId="10" fillId="2" borderId="0" applyAlignment="1" pivotButton="0" quotePrefix="0" xfId="0">
      <alignment horizontal="left" vertical="center" wrapText="1"/>
    </xf>
    <xf numFmtId="0" fontId="8" fillId="2" borderId="1" applyAlignment="1" pivotButton="0" quotePrefix="0" xfId="0">
      <alignment horizontal="left" vertical="top" wrapText="1"/>
    </xf>
    <xf numFmtId="0" fontId="6" fillId="2" borderId="1" applyAlignment="1" pivotButton="0" quotePrefix="0" xfId="0">
      <alignment horizontal="left" vertical="top" wrapText="1"/>
    </xf>
    <xf numFmtId="0" fontId="8" fillId="5" borderId="1" applyAlignment="1" pivotButton="0" quotePrefix="0" xfId="0">
      <alignment horizontal="left" vertical="top" wrapText="1"/>
    </xf>
    <xf numFmtId="0" fontId="6" fillId="5" borderId="1" applyAlignment="1" pivotButton="0" quotePrefix="0" xfId="0">
      <alignment horizontal="left" vertical="top" wrapText="1"/>
    </xf>
    <xf numFmtId="0" fontId="8" fillId="6" borderId="1" applyAlignment="1" pivotButton="0" quotePrefix="0" xfId="0">
      <alignment horizontal="left" vertical="top" wrapText="1"/>
    </xf>
    <xf numFmtId="0" fontId="6" fillId="6" borderId="1" applyAlignment="1" pivotButton="0" quotePrefix="0" xfId="0">
      <alignment horizontal="left" vertical="top" wrapText="1"/>
    </xf>
    <xf numFmtId="0" fontId="8" fillId="7" borderId="1" applyAlignment="1" pivotButton="0" quotePrefix="0" xfId="0">
      <alignment horizontal="left" vertical="top" wrapText="1"/>
    </xf>
    <xf numFmtId="0" fontId="6" fillId="7" borderId="1" applyAlignment="1" pivotButton="0" quotePrefix="0" xfId="0">
      <alignment horizontal="left" vertical="top" wrapText="1"/>
    </xf>
    <xf numFmtId="0" fontId="11" fillId="0" borderId="0" applyAlignment="1" pivotButton="0" quotePrefix="0" xfId="0">
      <alignment horizontal="left" vertical="center" wrapText="1"/>
    </xf>
    <xf numFmtId="0" fontId="10" fillId="0" borderId="0" applyAlignment="1" pivotButton="0" quotePrefix="0" xfId="0">
      <alignment vertical="center" wrapText="1"/>
    </xf>
    <xf numFmtId="0" fontId="0" fillId="0" borderId="6" pivotButton="0" quotePrefix="0" xfId="0"/>
    <xf numFmtId="0" fontId="12" fillId="8" borderId="3" applyAlignment="1" applyProtection="1" pivotButton="0" quotePrefix="0" xfId="0">
      <alignment horizontal="center" vertical="center" wrapText="1"/>
      <protection locked="0" hidden="0"/>
    </xf>
    <xf numFmtId="0" fontId="13" fillId="0" borderId="1" applyAlignment="1" pivotButton="0" quotePrefix="0" xfId="0">
      <alignment horizontal="left" vertical="center" wrapText="1"/>
    </xf>
    <xf numFmtId="0" fontId="8" fillId="4" borderId="1" applyAlignment="1" pivotButton="0" quotePrefix="0" xfId="0">
      <alignment vertical="center" wrapText="1"/>
    </xf>
    <xf numFmtId="1" fontId="7" fillId="2" borderId="1" applyAlignment="1" pivotButton="0" quotePrefix="0" xfId="0">
      <alignment horizontal="center" vertical="center" wrapText="1"/>
    </xf>
    <xf numFmtId="0" fontId="13" fillId="2" borderId="1" applyAlignment="1" pivotButton="0" quotePrefix="0" xfId="0">
      <alignment vertical="center" wrapText="1"/>
    </xf>
    <xf numFmtId="0" fontId="0" fillId="2" borderId="1" pivotButton="0" quotePrefix="0" xfId="0"/>
    <xf numFmtId="0" fontId="5" fillId="3" borderId="2" applyAlignment="1" pivotButton="0" quotePrefix="0" xfId="0">
      <alignment horizontal="left" vertical="center" wrapText="1"/>
    </xf>
    <xf numFmtId="0" fontId="14" fillId="8" borderId="3" applyAlignment="1" pivotButton="0" quotePrefix="0" xfId="0">
      <alignment horizontal="center" vertical="center" wrapText="1"/>
    </xf>
    <xf numFmtId="0" fontId="13" fillId="0" borderId="0" applyAlignment="1" pivotButton="0" quotePrefix="0" xfId="0">
      <alignment horizontal="left" vertical="center" wrapText="1"/>
    </xf>
    <xf numFmtId="0" fontId="12" fillId="0" borderId="0" applyAlignment="1" pivotButton="0" quotePrefix="0" xfId="0">
      <alignment horizontal="left" vertical="center" wrapText="1"/>
    </xf>
    <xf numFmtId="1" fontId="6" fillId="5" borderId="1" applyAlignment="1" pivotButton="0" quotePrefix="0" xfId="0">
      <alignment horizontal="center" vertical="center" wrapText="1"/>
    </xf>
    <xf numFmtId="1" fontId="8" fillId="5" borderId="1" applyAlignment="1" pivotButton="0" quotePrefix="0" xfId="0">
      <alignment horizontal="center" vertical="center" wrapText="1"/>
    </xf>
    <xf numFmtId="1" fontId="6" fillId="7" borderId="1" applyAlignment="1" pivotButton="0" quotePrefix="0" xfId="0">
      <alignment horizontal="center" vertical="center" wrapText="1"/>
    </xf>
    <xf numFmtId="1" fontId="8" fillId="7" borderId="1" applyAlignment="1" pivotButton="0" quotePrefix="0" xfId="0">
      <alignment horizontal="center" vertical="center" wrapText="1"/>
    </xf>
    <xf numFmtId="1" fontId="6" fillId="2" borderId="1" applyAlignment="1" pivotButton="0" quotePrefix="0" xfId="0">
      <alignment horizontal="center" vertical="center" wrapText="1"/>
    </xf>
    <xf numFmtId="1" fontId="8" fillId="2" borderId="1" applyAlignment="1" pivotButton="0" quotePrefix="0" xfId="0">
      <alignment horizontal="center" vertical="center" wrapText="1"/>
    </xf>
    <xf numFmtId="0" fontId="13"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失敗閾値（現在の入力）</a:t>
            </a:r>
          </a:p>
        </rich>
      </tx>
    </title>
    <plotArea>
      <barChart>
        <barDir val="col"/>
        <grouping val="clustered"/>
        <ser>
          <idx val="0"/>
          <order val="0"/>
          <tx>
            <strRef>
              <f>'14_時間の計算'!B22</f>
            </strRef>
          </tx>
          <spPr>
            <a:solidFill>
              <a:srgbClr val="4A4A4A"/>
            </a:solidFill>
            <a:ln>
              <a:solidFill>
                <a:srgbClr val="2C2C2C"/>
              </a:solidFill>
              <a:prstDash val="solid"/>
            </a:ln>
          </spPr>
          <cat>
            <numRef>
              <f>'14_時間の計算'!$A$23:$A$62</f>
            </numRef>
          </cat>
          <val>
            <numRef>
              <f>'14_時間の計算'!$B$23:$B$62</f>
            </numRef>
          </val>
        </ser>
        <gapWidth val="150"/>
        <axId val="10"/>
        <axId val="100"/>
      </barChart>
      <catAx>
        <axId val="10"/>
        <scaling>
          <orientation val="minMax"/>
        </scaling>
        <axPos val="l"/>
        <title>
          <tx>
            <rich>
              <a:bodyPr/>
              <a:p>
                <a:pPr>
                  <a:defRPr/>
                </a:pPr>
                <a:r>
                  <a:t>desired</a:t>
                </a:r>
              </a:p>
            </rich>
          </tx>
          <txPr>
            <a:bodyPr/>
            <a:p>
              <a:pPr>
                <a:defRPr sz="900" b="0">
                  <a:latin typeface="Meiryo UI"/>
                  <a:ea typeface="Meiryo UI"/>
                </a:defRPr>
              </a:pPr>
              <a:r>
                <a:t/>
              </a:r>
              <a:endParaRPr sz="900" b="0">
                <a:latin typeface="Meiryo UI"/>
                <a:ea typeface="Meiryo UI"/>
              </a:endParaRPr>
            </a:p>
          </txPr>
        </title>
        <majorTickMark val="none"/>
        <minorTickMark val="none"/>
        <txPr>
          <a:bodyPr/>
          <a:p>
            <a:pPr>
              <a:defRPr sz="900" b="0">
                <a:latin typeface="Meiryo UI"/>
                <a:ea typeface="Meiryo UI"/>
              </a:defRPr>
            </a:pPr>
            <a:r>
              <a:t/>
            </a:r>
            <a:endParaRPr sz="900" b="0">
              <a:latin typeface="Meiryo UI"/>
              <a:ea typeface="Meiryo UI"/>
            </a:endParaRPr>
          </a:p>
        </txPr>
        <crossAx val="100"/>
        <lblOffset val="100"/>
      </catAx>
      <valAx>
        <axId val="100"/>
        <scaling>
          <orientation val="minMax"/>
          <min val="0"/>
        </scaling>
        <axPos val="l"/>
        <majorGridlines>
          <spPr>
            <a:ln>
              <a:solidFill>
                <a:srgbClr val="D0D0D0"/>
              </a:solidFill>
              <a:prstDash val="solid"/>
            </a:ln>
          </spPr>
        </majorGridlines>
        <title>
          <tx>
            <rich>
              <a:bodyPr/>
              <a:p>
                <a:pPr>
                  <a:defRPr/>
                </a:pPr>
                <a:r>
                  <a:t>失敗回数</a:t>
                </a:r>
              </a:p>
            </rich>
          </tx>
          <txPr>
            <a:bodyPr/>
            <a:p>
              <a:pPr>
                <a:defRPr sz="900" b="0">
                  <a:latin typeface="Meiryo UI"/>
                  <a:ea typeface="Meiryo UI"/>
                </a:defRPr>
              </a:pPr>
              <a:r>
                <a:t/>
              </a:r>
              <a:endParaRPr sz="900" b="0">
                <a:latin typeface="Meiryo UI"/>
                <a:ea typeface="Meiryo UI"/>
              </a:endParaRPr>
            </a:p>
          </txPr>
        </title>
        <majorTickMark val="none"/>
        <minorTickMark val="none"/>
        <txPr>
          <a:bodyPr/>
          <a:p>
            <a:pPr>
              <a:defRPr sz="900" b="0">
                <a:latin typeface="Meiryo UI"/>
                <a:ea typeface="Meiryo UI"/>
              </a:defRPr>
            </a:pPr>
            <a:r>
              <a:t/>
            </a:r>
            <a:endParaRPr sz="900" b="0">
              <a:latin typeface="Meiryo UI"/>
              <a:ea typeface="Meiryo UI"/>
            </a:endParaRPr>
          </a:p>
        </txPr>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20</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2C2C2C"/>
    <outlinePr summaryBelow="1" summaryRight="1"/>
    <pageSetUpPr fitToPage="1"/>
  </sheetPr>
  <dimension ref="A1:F41"/>
  <sheetViews>
    <sheetView showGridLines="0" zoomScale="120" workbookViewId="0">
      <pane ySplit="14" topLeftCell="A15" activePane="bottomLeft" state="frozen"/>
      <selection pane="bottomLeft" activeCell="A1" sqref="A1"/>
    </sheetView>
  </sheetViews>
  <sheetFormatPr baseColWidth="8" defaultRowHeight="15"/>
  <cols>
    <col width="28" customWidth="1" min="1" max="1"/>
    <col width="36" customWidth="1" min="2" max="2"/>
    <col width="36" customWidth="1" min="3" max="3"/>
    <col width="36" customWidth="1" min="4" max="4"/>
    <col width="28" customWidth="1" min="5" max="5"/>
    <col width="22" customWidth="1" min="6" max="6"/>
  </cols>
  <sheetData>
    <row r="1">
      <c r="A1" s="1" t="n"/>
      <c r="B1" s="1" t="n"/>
      <c r="C1" s="1" t="n"/>
      <c r="D1" s="1" t="n"/>
      <c r="E1" s="1" t="n"/>
      <c r="F1" s="1" t="n"/>
    </row>
    <row r="2" ht="22" customHeight="1">
      <c r="A2" s="2" t="inlineStr">
        <is>
          <t>ECS コンテナデプロイ</t>
        </is>
      </c>
    </row>
    <row r="3" ht="40" customHeight="1">
      <c r="A3" s="3" t="inlineStr">
        <is>
          <t>ヘルスチェックとタスク置換の完全解説</t>
        </is>
      </c>
    </row>
    <row r="4" ht="36" customHeight="1">
      <c r="A4" s="4" t="inlineStr">
        <is>
          <t>コンテナの聴診器、校門の受付（ALB）、人数を守る職員室（サービス）、新しい献立を止めるブレーカー。四者は同時に動くが、同じ仕事はしない。</t>
        </is>
      </c>
    </row>
    <row r="5">
      <c r="A5" s="1" t="n"/>
      <c r="B5" s="1" t="n"/>
      <c r="C5" s="1" t="n"/>
      <c r="D5" s="1" t="n"/>
      <c r="E5" s="1" t="n"/>
      <c r="F5" s="1" t="n"/>
    </row>
    <row r="6" ht="22" customHeight="1">
      <c r="A6" s="5" t="inlineStr">
        <is>
          <t>調査基準日</t>
        </is>
      </c>
      <c r="B6" s="6" t="inlineStr">
        <is>
          <t>2026-10-02</t>
        </is>
      </c>
      <c r="C6" s="7" t="n"/>
      <c r="D6" s="7" t="n"/>
      <c r="E6" s="1" t="n"/>
      <c r="F6" s="1" t="n"/>
    </row>
    <row r="7" ht="22" customHeight="1">
      <c r="A7" s="5" t="inlineStr">
        <is>
          <t>フォント</t>
        </is>
      </c>
      <c r="B7" s="6" t="inlineStr">
        <is>
          <t>Meiryo UI（本文 10pt、見出しは太字）</t>
        </is>
      </c>
      <c r="C7" s="7" t="n"/>
      <c r="D7" s="7" t="n"/>
      <c r="E7" s="1" t="n"/>
      <c r="F7" s="1" t="n"/>
    </row>
    <row r="8" ht="22" customHeight="1">
      <c r="A8" s="5" t="inlineStr">
        <is>
          <t>配色</t>
        </is>
      </c>
      <c r="B8" s="6" t="inlineStr">
        <is>
          <t>モノトーン。白、薄い灰、濃い灰。意味の違いは色相ではなく濃さ</t>
        </is>
      </c>
      <c r="C8" s="7" t="n"/>
      <c r="D8" s="7" t="n"/>
      <c r="E8" s="1" t="n"/>
      <c r="F8" s="1" t="n"/>
    </row>
    <row r="9" ht="22" customHeight="1">
      <c r="A9" s="5" t="inlineStr">
        <is>
          <t>対になる文書</t>
        </is>
      </c>
      <c r="B9" s="6" t="inlineStr">
        <is>
          <t>同じフォルダの ECS_HealthCheck_完全解説.md</t>
        </is>
      </c>
      <c r="C9" s="7" t="n"/>
      <c r="D9" s="7" t="n"/>
      <c r="E9" s="1" t="n"/>
      <c r="F9" s="1" t="n"/>
    </row>
    <row r="10" ht="22" customHeight="1">
      <c r="A10" s="5" t="inlineStr">
        <is>
          <t>このブックの役割</t>
        </is>
      </c>
      <c r="B10" s="6" t="inlineStr">
        <is>
          <t>条件、設定値、範囲、既定値、計算式を表で引く</t>
        </is>
      </c>
      <c r="C10" s="7" t="n"/>
      <c r="D10" s="7" t="n"/>
      <c r="E10" s="1" t="n"/>
      <c r="F10" s="1" t="n"/>
    </row>
    <row r="11" ht="22" customHeight="1">
      <c r="A11" s="5" t="inlineStr">
        <is>
          <t>計算シート</t>
        </is>
      </c>
      <c r="B11" s="6" t="inlineStr">
        <is>
          <t>14_時間の計算。黄ではなく灰の入力欄を変えると式が再計算される</t>
        </is>
      </c>
      <c r="C11" s="7" t="n"/>
      <c r="D11" s="7" t="n"/>
      <c r="E11" s="1" t="n"/>
      <c r="F11" s="1" t="n"/>
    </row>
    <row r="12">
      <c r="A12" s="1" t="n"/>
      <c r="B12" s="1" t="n"/>
      <c r="C12" s="1" t="n"/>
      <c r="D12" s="1" t="n"/>
      <c r="E12" s="1" t="n"/>
      <c r="F12" s="1" t="n"/>
    </row>
    <row r="13" ht="24" customHeight="1">
      <c r="A13" s="8" t="inlineStr">
        <is>
          <t>シートの順</t>
        </is>
      </c>
    </row>
    <row r="14">
      <c r="A14" s="9" t="inlineStr">
        <is>
          <t>シート</t>
        </is>
      </c>
      <c r="B14" s="9" t="inlineStr">
        <is>
          <t>中身</t>
        </is>
      </c>
      <c r="C14" s="10" t="n"/>
      <c r="D14" s="10" t="n"/>
      <c r="E14" s="1" t="n"/>
      <c r="F14" s="1" t="n"/>
    </row>
    <row r="15" ht="20" customHeight="1">
      <c r="A15" s="11" t="inlineStr">
        <is>
          <t>00_表紙</t>
        </is>
      </c>
      <c r="B15" s="12" t="inlineStr">
        <is>
          <t>このページ</t>
        </is>
      </c>
      <c r="C15" s="13" t="n"/>
      <c r="D15" s="13" t="n"/>
      <c r="E15" s="1" t="n"/>
      <c r="F15" s="1" t="n"/>
    </row>
    <row r="16" ht="20" customHeight="1">
      <c r="A16" s="14" t="inlineStr">
        <is>
          <t>01_読み方</t>
        </is>
      </c>
      <c r="B16" s="6" t="inlineStr">
        <is>
          <t>たとえ、実装、設定値の三層</t>
        </is>
      </c>
      <c r="C16" s="15" t="n"/>
      <c r="D16" s="15" t="n"/>
      <c r="E16" s="1" t="n"/>
      <c r="F16" s="1" t="n"/>
    </row>
    <row r="17" ht="20" customHeight="1">
      <c r="A17" s="11" t="inlineStr">
        <is>
          <t>02_全体地図</t>
        </is>
      </c>
      <c r="B17" s="12" t="inlineStr">
        <is>
          <t>誰が何を見て、何をしないか</t>
        </is>
      </c>
      <c r="C17" s="13" t="n"/>
      <c r="D17" s="13" t="n"/>
      <c r="E17" s="1" t="n"/>
      <c r="F17" s="1" t="n"/>
    </row>
    <row r="18" ht="20" customHeight="1">
      <c r="A18" s="14" t="inlineStr">
        <is>
          <t>03_歴史</t>
        </is>
      </c>
      <c r="B18" s="6" t="inlineStr">
        <is>
          <t>なぜその設定が必要になったか</t>
        </is>
      </c>
      <c r="C18" s="15" t="n"/>
      <c r="D18" s="15" t="n"/>
      <c r="E18" s="1" t="n"/>
      <c r="F18" s="1" t="n"/>
    </row>
    <row r="19" ht="20" customHeight="1">
      <c r="A19" s="11" t="inlineStr">
        <is>
          <t>04_三人の検査</t>
        </is>
      </c>
      <c r="B19" s="12" t="inlineStr">
        <is>
          <t>コンテナ、ALB、スケジューラ、ブレーカーの対比</t>
        </is>
      </c>
      <c r="C19" s="13" t="n"/>
      <c r="D19" s="13" t="n"/>
      <c r="E19" s="1" t="n"/>
      <c r="F19" s="1" t="n"/>
    </row>
    <row r="20" ht="20" customHeight="1">
      <c r="A20" s="14" t="inlineStr">
        <is>
          <t>05_コンテナHC</t>
        </is>
      </c>
      <c r="B20" s="6" t="inlineStr">
        <is>
          <t>command、interval、timeout、retries、startPeriod</t>
        </is>
      </c>
      <c r="C20" s="15" t="n"/>
      <c r="D20" s="15" t="n"/>
      <c r="E20" s="1" t="n"/>
      <c r="F20" s="1" t="n"/>
    </row>
    <row r="21" ht="20" customHeight="1">
      <c r="A21" s="11" t="inlineStr">
        <is>
          <t>06_ALBとNLB</t>
        </is>
      </c>
      <c r="B21" s="12" t="inlineStr">
        <is>
          <t>ターゲットグループの全設定と、新規は1回でhealthy</t>
        </is>
      </c>
      <c r="C21" s="13" t="n"/>
      <c r="D21" s="13" t="n"/>
      <c r="E21" s="1" t="n"/>
      <c r="F21" s="1" t="n"/>
    </row>
    <row r="22" ht="20" customHeight="1">
      <c r="A22" s="14" t="inlineStr">
        <is>
          <t>07_サービス設定</t>
        </is>
      </c>
      <c r="B22" s="6" t="inlineStr">
        <is>
          <t>猶予、人数、健全カウント、コントローラ</t>
        </is>
      </c>
      <c r="C22" s="15" t="n"/>
      <c r="D22" s="15" t="n"/>
      <c r="E22" s="1" t="n"/>
      <c r="F22" s="1" t="n"/>
    </row>
    <row r="23" ht="20" customHeight="1">
      <c r="A23" s="11" t="inlineStr">
        <is>
          <t>08_状態遷移</t>
        </is>
      </c>
      <c r="B23" s="12" t="inlineStr">
        <is>
          <t>RUNNING から DEACTIVATING まで</t>
        </is>
      </c>
      <c r="C23" s="13" t="n"/>
      <c r="D23" s="13" t="n"/>
      <c r="E23" s="1" t="n"/>
      <c r="F23" s="1" t="n"/>
    </row>
    <row r="24" ht="20" customHeight="1">
      <c r="A24" s="14" t="inlineStr">
        <is>
          <t>09_置換の条件</t>
        </is>
      </c>
      <c r="B24" s="6" t="inlineStr">
        <is>
          <t>不健康になってから交換される判定順</t>
        </is>
      </c>
      <c r="C24" s="15" t="n"/>
      <c r="D24" s="15" t="n"/>
      <c r="E24" s="1" t="n"/>
      <c r="F24" s="1" t="n"/>
    </row>
    <row r="25" ht="20" customHeight="1">
      <c r="A25" s="11" t="inlineStr">
        <is>
          <t>10_新タスクが残る</t>
        </is>
      </c>
      <c r="B25" s="12" t="inlineStr">
        <is>
          <t>健全と数え、置き換え対象でなくなる条件</t>
        </is>
      </c>
      <c r="C25" s="13" t="n"/>
      <c r="D25" s="13" t="n"/>
      <c r="E25" s="1" t="n"/>
      <c r="F25" s="1" t="n"/>
    </row>
    <row r="26" ht="20" customHeight="1">
      <c r="A26" s="14" t="inlineStr">
        <is>
          <t>11_人数制限</t>
        </is>
      </c>
      <c r="B26" s="6" t="inlineStr">
        <is>
          <t>minimumHealthyPercent と maximumPercent</t>
        </is>
      </c>
      <c r="C26" s="15" t="n"/>
      <c r="D26" s="15" t="n"/>
      <c r="E26" s="1" t="n"/>
      <c r="F26" s="1" t="n"/>
    </row>
    <row r="27" ht="20" customHeight="1">
      <c r="A27" s="11" t="inlineStr">
        <is>
          <t>12_サーキットブレーカー</t>
        </is>
      </c>
      <c r="B27" s="12" t="inlineStr">
        <is>
          <t>二段階、閾値、ロールバック</t>
        </is>
      </c>
      <c r="C27" s="13" t="n"/>
      <c r="D27" s="13" t="n"/>
      <c r="E27" s="1" t="n"/>
      <c r="F27" s="1" t="n"/>
    </row>
    <row r="28" ht="20" customHeight="1">
      <c r="A28" s="14" t="inlineStr">
        <is>
          <t>13_アラームと戦略</t>
        </is>
      </c>
      <c r="B28" s="6" t="inlineStr">
        <is>
          <t>bake time、blue/green、フック</t>
        </is>
      </c>
      <c r="C28" s="15" t="n"/>
      <c r="D28" s="15" t="n"/>
      <c r="E28" s="1" t="n"/>
      <c r="F28" s="1" t="n"/>
    </row>
    <row r="29" ht="20" customHeight="1">
      <c r="A29" s="11" t="inlineStr">
        <is>
          <t>14_時間の計算</t>
        </is>
      </c>
      <c r="B29" s="12" t="inlineStr">
        <is>
          <t>入力を変えて閾値と秒数を見る</t>
        </is>
      </c>
      <c r="C29" s="13" t="n"/>
      <c r="D29" s="13" t="n"/>
      <c r="E29" s="1" t="n"/>
      <c r="F29" s="1" t="n"/>
    </row>
    <row r="30" ht="20" customHeight="1">
      <c r="A30" s="14" t="inlineStr">
        <is>
          <t>15_切り分け</t>
        </is>
      </c>
      <c r="B30" s="6" t="inlineStr">
        <is>
          <t>コンソールの見え方から原因へ</t>
        </is>
      </c>
      <c r="C30" s="15" t="n"/>
      <c r="D30" s="15" t="n"/>
      <c r="E30" s="1" t="n"/>
      <c r="F30" s="1" t="n"/>
    </row>
    <row r="31" ht="20" customHeight="1">
      <c r="A31" s="11" t="inlineStr">
        <is>
          <t>16_用語</t>
        </is>
      </c>
      <c r="B31" s="12" t="inlineStr">
        <is>
          <t>短い定義</t>
        </is>
      </c>
      <c r="C31" s="13" t="n"/>
      <c r="D31" s="13" t="n"/>
      <c r="E31" s="1" t="n"/>
      <c r="F31" s="1" t="n"/>
    </row>
    <row r="32" ht="20" customHeight="1">
      <c r="A32" s="14" t="inlineStr">
        <is>
          <t>17_参照</t>
        </is>
      </c>
      <c r="B32" s="6" t="inlineStr">
        <is>
          <t>一次情報と発表日</t>
        </is>
      </c>
      <c r="C32" s="15" t="n"/>
      <c r="D32" s="15" t="n"/>
      <c r="E32" s="1" t="n"/>
      <c r="F32" s="1" t="n"/>
    </row>
    <row r="33">
      <c r="A33" s="1" t="n"/>
      <c r="B33" s="1" t="n"/>
      <c r="C33" s="1" t="n"/>
      <c r="D33" s="1" t="n"/>
      <c r="E33" s="1" t="n"/>
      <c r="F33" s="1" t="n"/>
    </row>
    <row r="34" ht="22" customHeight="1">
      <c r="A34" s="16" t="inlineStr">
        <is>
          <t>読み方の約束。セルの「たとえ」は学校の給食当番です。お弁当箱がタスク、中の一人がコンテナ、自分の胸の聴診器がコンテナヘルスチェック、校門の受付が ALB、人数を守る職員室が ECS サービス、新しい献立を中止するブレーカーがサーキットブレーカーです。たとえは記憶用で、停止を決める主体は必ず実装の列で確認します。重要度「高」の行は濃い灰、「中」は中間の灰、それ以外は白とごく薄い灰のしまです。</t>
        </is>
      </c>
    </row>
    <row r="35" ht="22" customHeight="1"/>
    <row r="36" ht="22" customHeight="1"/>
    <row r="37">
      <c r="A37" s="1" t="n"/>
      <c r="B37" s="1" t="n"/>
      <c r="C37" s="1" t="n"/>
      <c r="D37" s="1" t="n"/>
      <c r="E37" s="1" t="n"/>
      <c r="F37" s="1" t="n"/>
    </row>
    <row r="38">
      <c r="A38" s="1" t="n"/>
      <c r="B38" s="1" t="n"/>
      <c r="C38" s="1" t="n"/>
      <c r="D38" s="1" t="n"/>
      <c r="E38" s="1" t="n"/>
      <c r="F38" s="1" t="n"/>
    </row>
    <row r="39">
      <c r="A39" s="1" t="n"/>
      <c r="B39" s="1" t="n"/>
      <c r="C39" s="1" t="n"/>
      <c r="D39" s="1" t="n"/>
      <c r="E39" s="1" t="n"/>
      <c r="F39" s="1" t="n"/>
    </row>
    <row r="40">
      <c r="A40" s="1" t="n"/>
      <c r="B40" s="1" t="n"/>
      <c r="C40" s="1" t="n"/>
      <c r="D40" s="1" t="n"/>
      <c r="E40" s="1" t="n"/>
      <c r="F40" s="1" t="n"/>
    </row>
    <row r="41">
      <c r="A41" s="1" t="n"/>
      <c r="B41" s="1" t="n"/>
      <c r="C41" s="1" t="n"/>
      <c r="D41" s="1" t="n"/>
      <c r="E41" s="1" t="n"/>
      <c r="F41" s="1" t="n"/>
    </row>
  </sheetData>
  <mergeCells count="30">
    <mergeCell ref="B11:D11"/>
    <mergeCell ref="B14:D14"/>
    <mergeCell ref="B23:D23"/>
    <mergeCell ref="B8:D8"/>
    <mergeCell ref="B17:D17"/>
    <mergeCell ref="A3:F3"/>
    <mergeCell ref="B29:D29"/>
    <mergeCell ref="B10:D10"/>
    <mergeCell ref="A2:F2"/>
    <mergeCell ref="B28:D28"/>
    <mergeCell ref="B19:D19"/>
    <mergeCell ref="B9:D9"/>
    <mergeCell ref="B30:D30"/>
    <mergeCell ref="A4:F4"/>
    <mergeCell ref="B15:D15"/>
    <mergeCell ref="B6:D6"/>
    <mergeCell ref="B24:D24"/>
    <mergeCell ref="B20:D20"/>
    <mergeCell ref="A13:F13"/>
    <mergeCell ref="B32:D32"/>
    <mergeCell ref="B26:D26"/>
    <mergeCell ref="B7:D7"/>
    <mergeCell ref="B25:D25"/>
    <mergeCell ref="A34:F36"/>
    <mergeCell ref="B16:D16"/>
    <mergeCell ref="B31:D31"/>
    <mergeCell ref="B22:D22"/>
    <mergeCell ref="B18:D18"/>
    <mergeCell ref="B27:D27"/>
    <mergeCell ref="B21:D21"/>
  </mergeCells>
  <pageMargins left="0.6" right="0.6" top="0.6" bottom="0.5" header="0.5" footer="0.5"/>
  <pageSetup orientation="landscape" paperSize="8" fitToHeight="1" fitToWidth="1"/>
  <headerFooter>
    <oddHeader>&amp;L&amp;"Meiryo UI"ECS ヘルスチェック詳説&amp;R&amp;"Meiryo UI"表紙</oddHeader>
    <oddFooter>&amp;L&amp;"Meiryo UI"調査基準日 2026-10-02&amp;R&amp;"Meiryo UI"&amp;P / &amp;N</oddFooter>
    <evenHeader/>
    <evenFooter/>
    <firstHeader/>
    <firstFooter/>
  </headerFooter>
</worksheet>
</file>

<file path=xl/worksheets/sheet2.xml><?xml version="1.0" encoding="utf-8"?>
<worksheet xmlns="http://schemas.openxmlformats.org/spreadsheetml/2006/main">
  <sheetPr>
    <tabColor rgb="004A4A4A"/>
    <outlinePr summaryBelow="1" summaryRight="1"/>
    <pageSetUpPr fitToPage="1"/>
  </sheetPr>
  <dimension ref="A1:E9"/>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16" customWidth="1" min="1" max="1"/>
    <col width="55" customWidth="1" min="2" max="2"/>
    <col width="55" customWidth="1" min="3" max="3"/>
    <col width="55" customWidth="1" min="4" max="4"/>
    <col width="12" customWidth="1" min="5" max="5"/>
  </cols>
  <sheetData>
    <row r="1" ht="32" customHeight="1">
      <c r="A1" s="17" t="inlineStr">
        <is>
          <t>読み方</t>
        </is>
      </c>
      <c r="B1" s="18" t="n"/>
      <c r="C1" s="18" t="n"/>
      <c r="D1" s="18" t="n"/>
      <c r="E1" s="18" t="n"/>
    </row>
    <row r="2" ht="34" customHeight="1">
      <c r="A2" s="19" t="inlineStr">
        <is>
          <t>Markdown が文章、このブックが表です。同じたとえを最後まで使います。</t>
        </is>
      </c>
      <c r="B2" s="18" t="n"/>
      <c r="C2" s="18" t="n"/>
      <c r="D2" s="18" t="n"/>
      <c r="E2" s="18" t="n"/>
    </row>
    <row r="3" ht="8" customHeight="1">
      <c r="A3" s="18" t="n"/>
      <c r="B3" s="18" t="n"/>
      <c r="C3" s="18" t="n"/>
      <c r="D3" s="18" t="n"/>
      <c r="E3" s="18" t="n"/>
    </row>
    <row r="4" ht="32" customHeight="1">
      <c r="A4" s="9" t="inlineStr">
        <is>
          <t>層</t>
        </is>
      </c>
      <c r="B4" s="9" t="inlineStr">
        <is>
          <t>何を書くか</t>
        </is>
      </c>
      <c r="C4" s="9" t="inlineStr">
        <is>
          <t>たとえ</t>
        </is>
      </c>
      <c r="D4" s="9" t="inlineStr">
        <is>
          <t>この層だけで判断しないこと</t>
        </is>
      </c>
      <c r="E4" s="9" t="inlineStr">
        <is>
          <t>重要度</t>
        </is>
      </c>
    </row>
    <row r="5" ht="23" customHeight="1">
      <c r="A5" s="20" t="inlineStr">
        <is>
          <t>たとえ</t>
        </is>
      </c>
      <c r="B5" s="21" t="inlineStr">
        <is>
          <t>誰が、何を見て、何をするか。用語の前に役割を固定する。</t>
        </is>
      </c>
      <c r="C5" s="21" t="inlineStr">
        <is>
          <t>給食当番、保健室、校門、職員室、配電盤のブレーカー。</t>
        </is>
      </c>
      <c r="D5" s="21" t="inlineStr">
        <is>
          <t>秒数や既定値。たとえから API 名は復元できない。</t>
        </is>
      </c>
      <c r="E5" s="21" t="inlineStr">
        <is>
          <t>基礎</t>
        </is>
      </c>
    </row>
    <row r="6" ht="38" customHeight="1">
      <c r="A6" s="22" t="inlineStr">
        <is>
          <t>動作</t>
        </is>
      </c>
      <c r="B6" s="23" t="inlineStr">
        <is>
          <t>状態名、順序、どのコンポーネントが判断するか。</t>
        </is>
      </c>
      <c r="C6" s="23" t="inlineStr">
        <is>
          <t>受付が「休み」と言っても、職員室が箱を捨てるとは限らない。</t>
        </is>
      </c>
      <c r="D6" s="23" t="inlineStr">
        <is>
          <t>アカウントの現行設定そのもの。この文書は仕様の説明であり、実環境の監査結果ではない。</t>
        </is>
      </c>
      <c r="E6" s="23" t="inlineStr">
        <is>
          <t>高</t>
        </is>
      </c>
    </row>
    <row r="7" ht="38" customHeight="1">
      <c r="A7" s="22" t="inlineStr">
        <is>
          <t>設定</t>
        </is>
      </c>
      <c r="B7" s="23" t="inlineStr">
        <is>
          <t>書く場所、既定値、範囲、失敗したときの結果。</t>
        </is>
      </c>
      <c r="C7" s="23" t="inlineStr">
        <is>
          <t>聴診器の間隔と、登校直後の見守り時間は別の時計。</t>
        </is>
      </c>
      <c r="D7" s="23" t="inlineStr">
        <is>
          <t>推奨値を全アプリ共通の正解にすること。公式は単一の推奨秒数を出していない。</t>
        </is>
      </c>
      <c r="E7" s="23" t="inlineStr">
        <is>
          <t>高</t>
        </is>
      </c>
    </row>
    <row r="8" ht="38" customHeight="1">
      <c r="A8" s="24" t="inlineStr">
        <is>
          <t>歴史</t>
        </is>
      </c>
      <c r="B8" s="25" t="inlineStr">
        <is>
          <t>その設定が無い時代に、何が壊れていたか。</t>
        </is>
      </c>
      <c r="C8" s="25" t="inlineStr">
        <is>
          <t>起動が遅いだけで給食当番が交代させられていた、という事故。</t>
        </is>
      </c>
      <c r="D8" s="25" t="inlineStr">
        <is>
          <t>発表日を、その機能の細かい現行仕様と取り違えること。仕様は後から広がっている。</t>
        </is>
      </c>
      <c r="E8" s="25" t="inlineStr">
        <is>
          <t>中</t>
        </is>
      </c>
    </row>
    <row r="9" ht="38" customHeight="1">
      <c r="A9" s="24" t="inlineStr">
        <is>
          <t>計算</t>
        </is>
      </c>
      <c r="B9" s="25" t="inlineStr">
        <is>
          <t>14_時間の計算の灰の入力欄を変える。</t>
        </is>
      </c>
      <c r="C9" s="25" t="inlineStr">
        <is>
          <t>人数と割合から、失敗を何回数えたら献立を中止するかを出す。</t>
        </is>
      </c>
      <c r="D9" s="25" t="inlineStr">
        <is>
          <t>目安秒数をストップウォッチの保証値にすること。間隔は approximate のものがある。</t>
        </is>
      </c>
      <c r="E9" s="25" t="inlineStr">
        <is>
          <t>中</t>
        </is>
      </c>
    </row>
  </sheetData>
  <autoFilter ref="A4:E9"/>
  <mergeCells count="2">
    <mergeCell ref="A2:E2"/>
    <mergeCell ref="A1:E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01_読み方</oddHeader>
    <oddFooter>&amp;L&amp;"Meiryo UI"&amp;8 調査基準日 2026-10-02  公式ドキュメントに基づく解説  モノトーン / Meiryo UI&amp;R&amp;"Meiryo UI"&amp;8 &amp;P / &amp;N</oddFooter>
    <evenHeader/>
    <evenFooter/>
    <firstHeader/>
    <firstFooter/>
  </headerFooter>
</worksheet>
</file>

<file path=xl/worksheets/sheet3.xml><?xml version="1.0" encoding="utf-8"?>
<worksheet xmlns="http://schemas.openxmlformats.org/spreadsheetml/2006/main">
  <sheetPr>
    <tabColor rgb="004A4A4A"/>
    <outlinePr summaryBelow="1" summaryRight="1"/>
    <pageSetUpPr fitToPage="1"/>
  </sheetPr>
  <dimension ref="A1:F17"/>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32" customWidth="1" min="1" max="1"/>
    <col width="28" customWidth="1" min="2" max="2"/>
    <col width="42" customWidth="1" min="3" max="3"/>
    <col width="42" customWidth="1" min="4" max="4"/>
    <col width="55" customWidth="1" min="5" max="5"/>
    <col width="12" customWidth="1" min="6" max="6"/>
  </cols>
  <sheetData>
    <row r="1" ht="32" customHeight="1">
      <c r="A1" s="17" t="inlineStr">
        <is>
          <t>全体地図</t>
        </is>
      </c>
      <c r="B1" s="18" t="n"/>
      <c r="C1" s="18" t="n"/>
      <c r="D1" s="18" t="n"/>
      <c r="E1" s="18" t="n"/>
      <c r="F1" s="18" t="n"/>
    </row>
    <row r="2" ht="34" customHeight="1">
      <c r="A2" s="19" t="inlineStr">
        <is>
          <t>四人は同時に動きます。受付が不健康と言った瞬間に、箱が消えるわけではありません。</t>
        </is>
      </c>
      <c r="B2" s="18" t="n"/>
      <c r="C2" s="18" t="n"/>
      <c r="D2" s="18" t="n"/>
      <c r="E2" s="18" t="n"/>
      <c r="F2" s="18" t="n"/>
    </row>
    <row r="3" ht="8" customHeight="1">
      <c r="A3" s="18" t="n"/>
      <c r="B3" s="18" t="n"/>
      <c r="C3" s="18" t="n"/>
      <c r="D3" s="18" t="n"/>
      <c r="E3" s="18" t="n"/>
      <c r="F3" s="18" t="n"/>
    </row>
    <row r="4" ht="32" customHeight="1">
      <c r="A4" s="9" t="inlineStr">
        <is>
          <t>登場人物</t>
        </is>
      </c>
      <c r="B4" s="9" t="inlineStr">
        <is>
          <t>たとえ</t>
        </is>
      </c>
      <c r="C4" s="9" t="inlineStr">
        <is>
          <t>見るもの</t>
        </is>
      </c>
      <c r="D4" s="9" t="inlineStr">
        <is>
          <t>自分でしないこと</t>
        </is>
      </c>
      <c r="E4" s="9" t="inlineStr">
        <is>
          <t>不健康のとき起きること</t>
        </is>
      </c>
      <c r="F4" s="9" t="inlineStr">
        <is>
          <t>重要度</t>
        </is>
      </c>
    </row>
    <row r="5" ht="38" customHeight="1">
      <c r="A5" s="22" t="inlineStr">
        <is>
          <t>タスク</t>
        </is>
      </c>
      <c r="B5" s="23" t="inlineStr">
        <is>
          <t>お弁当箱</t>
        </is>
      </c>
      <c r="C5" s="23" t="inlineStr">
        <is>
          <t>一緒にスケジュールされるコンテナの組。</t>
        </is>
      </c>
      <c r="D5" s="23" t="inlineStr">
        <is>
          <t>中の一人だけを交換しない。原則、箱ごと。</t>
        </is>
      </c>
      <c r="E5" s="23" t="inlineStr">
        <is>
          <t>サービスのメンバーなら、条件を満たしたとき箱ごと停止し、新しい箱を起動する。</t>
        </is>
      </c>
      <c r="F5" s="23" t="inlineStr">
        <is>
          <t>高</t>
        </is>
      </c>
    </row>
    <row r="6" ht="38" customHeight="1">
      <c r="A6" s="22" t="inlineStr">
        <is>
          <t>コンテナ</t>
        </is>
      </c>
      <c r="B6" s="23" t="inlineStr">
        <is>
          <t>弁当の中の一人</t>
        </is>
      </c>
      <c r="C6" s="23" t="inlineStr">
        <is>
          <t>プロセスと、自分の検査コマンド。</t>
        </is>
      </c>
      <c r="D6" s="23" t="inlineStr">
        <is>
          <t>校門の外からは見えない。localhost の成功は、外から届く証拠にならない。</t>
        </is>
      </c>
      <c r="E6" s="23" t="inlineStr">
        <is>
          <t>必須かつ検査付きで UNHEALTHY なら、箱の健康も UNHEALTHY。</t>
        </is>
      </c>
      <c r="F6" s="23" t="inlineStr">
        <is>
          <t>高</t>
        </is>
      </c>
    </row>
    <row r="7" ht="23" customHeight="1">
      <c r="A7" s="22" t="inlineStr">
        <is>
          <t>必須コンテナ</t>
        </is>
      </c>
      <c r="B7" s="23" t="inlineStr">
        <is>
          <t>その箱に必要な先生</t>
        </is>
      </c>
      <c r="C7" s="23" t="inlineStr">
        <is>
          <t>essential。省略時は true。</t>
        </is>
      </c>
      <c r="D7" s="23" t="inlineStr">
        <is>
          <t>非必須の具合は、箱の健康判定に入れない。</t>
        </is>
      </c>
      <c r="E7" s="23" t="inlineStr">
        <is>
          <t>プロセス終了、または検査の UNHEALTHY が箱全体へ波及する。</t>
        </is>
      </c>
      <c r="F7" s="23" t="inlineStr">
        <is>
          <t>高</t>
        </is>
      </c>
    </row>
    <row r="8" ht="53" customHeight="1">
      <c r="A8" s="22" t="inlineStr">
        <is>
          <t>コンテナヘルスチェック</t>
        </is>
      </c>
      <c r="B8" s="23" t="inlineStr">
        <is>
          <t>自分の胸の聴診器</t>
        </is>
      </c>
      <c r="C8" s="23" t="inlineStr">
        <is>
          <t>コンテナ内コマンドの終了コード。0 が成功。</t>
        </is>
      </c>
      <c r="D8" s="23" t="inlineStr">
        <is>
          <t>セキュリティグループも、ALB の成功コードも見ない。Dockerfile だけに書いた検査は、ECS が見ない。</t>
        </is>
      </c>
      <c r="E8" s="23" t="inlineStr">
        <is>
          <t>連続失敗が retries に達するとコンテナが UNHEALTHY。サービスは猶予のあと交換し得る。</t>
        </is>
      </c>
      <c r="F8" s="23" t="inlineStr">
        <is>
          <t>高</t>
        </is>
      </c>
    </row>
    <row r="9" ht="38" customHeight="1">
      <c r="A9" s="22" t="inlineStr">
        <is>
          <t>ALB / NLB</t>
        </is>
      </c>
      <c r="B9" s="23" t="inlineStr">
        <is>
          <t>校門の受付</t>
        </is>
      </c>
      <c r="C9" s="23" t="inlineStr">
        <is>
          <t>外からポートとパスへ届き、期待した応答が返るか。</t>
        </is>
      </c>
      <c r="D9" s="23" t="inlineStr">
        <is>
          <t>ECS の猶予中でも検査は止めない。タスクの停止も自分ではしない。</t>
        </is>
      </c>
      <c r="E9" s="23" t="inlineStr">
        <is>
          <t>ターゲットを unhealthy または draining にする。新規通信を止める。全員が不健康ならフェイルオープンで送り得る。</t>
        </is>
      </c>
      <c r="F9" s="23" t="inlineStr">
        <is>
          <t>高</t>
        </is>
      </c>
    </row>
    <row r="10" ht="38" customHeight="1">
      <c r="A10" s="22" t="inlineStr">
        <is>
          <t>ECS サービススケジューラ</t>
        </is>
      </c>
      <c r="B10" s="23" t="inlineStr">
        <is>
          <t>人数を守る職員室</t>
        </is>
      </c>
      <c r="C10" s="23" t="inlineStr">
        <is>
          <t>desired、コンテナ健康、LB / VPC Lattice の結果、プロセスが生きているか。</t>
        </is>
      </c>
      <c r="D10" s="23" t="inlineStr">
        <is>
          <t>自分では curl しない。検査の実行者ではない。</t>
        </is>
      </c>
      <c r="E10" s="23" t="inlineStr">
        <is>
          <t>猶予の外なら不健康タスクを交換する。2023-10-23 以降、枠があれば代わりを先に起動する。</t>
        </is>
      </c>
      <c r="F10" s="23" t="inlineStr">
        <is>
          <t>高</t>
        </is>
      </c>
    </row>
    <row r="11" ht="38" customHeight="1">
      <c r="A11" s="22" t="inlineStr">
        <is>
          <t>healthCheckGracePeriodSeconds</t>
        </is>
      </c>
      <c r="B11" s="23" t="inlineStr">
        <is>
          <t>登校直後の見守り</t>
        </is>
      </c>
      <c r="C11" s="23" t="inlineStr">
        <is>
          <t>起動からの秒数。</t>
        </is>
      </c>
      <c r="D11" s="23" t="inlineStr">
        <is>
          <t>検査を成功扱いにしない。ALB を休ませない。</t>
        </is>
      </c>
      <c r="E11" s="23" t="inlineStr">
        <is>
          <t>その秒数のあいだ、ELB、VPC Lattice、コンテナ検査の不健康では止めない。実行数が desired 超なら例外があり得る。</t>
        </is>
      </c>
      <c r="F11" s="23" t="inlineStr">
        <is>
          <t>高</t>
        </is>
      </c>
    </row>
    <row r="12" ht="38" customHeight="1">
      <c r="A12" s="22" t="inlineStr">
        <is>
          <t>startPeriod</t>
        </is>
      </c>
      <c r="B12" s="23" t="inlineStr">
        <is>
          <t>聴診器が失敗を数えない準備</t>
        </is>
      </c>
      <c r="C12" s="23" t="inlineStr">
        <is>
          <t>コンテナ検査の連続失敗カウント。</t>
        </is>
      </c>
      <c r="D12" s="23" t="inlineStr">
        <is>
          <t>最大 300 秒。職員室の猶予ではない。</t>
        </is>
      </c>
      <c r="E12" s="23" t="inlineStr">
        <is>
          <t>期間中の失敗は retries に数えない。1 回でも成功すると即 HEALTHY になり、以降の失敗を数える。</t>
        </is>
      </c>
      <c r="F12" s="23" t="inlineStr">
        <is>
          <t>高</t>
        </is>
      </c>
    </row>
    <row r="13" ht="23" customHeight="1">
      <c r="A13" s="22" t="inlineStr">
        <is>
          <t>maximumPercent</t>
        </is>
      </c>
      <c r="B13" s="23" t="inlineStr">
        <is>
          <t>教室に一時的に入れてよい上限</t>
        </is>
      </c>
      <c r="C13" s="23" t="inlineStr">
        <is>
          <t>desired に対する百分率。台数は切り捨て。</t>
        </is>
      </c>
      <c r="D13" s="23" t="inlineStr">
        <is>
          <t>健全かどうかは決めない。</t>
        </is>
      </c>
      <c r="E13" s="23" t="inlineStr">
        <is>
          <t>枠があれば、古い箱を残したまま新しい箱を起動できる。</t>
        </is>
      </c>
      <c r="F13" s="23" t="inlineStr">
        <is>
          <t>高</t>
        </is>
      </c>
    </row>
    <row r="14" ht="38" customHeight="1">
      <c r="A14" s="22" t="inlineStr">
        <is>
          <t>minimumHealthyPercent</t>
        </is>
      </c>
      <c r="B14" s="23" t="inlineStr">
        <is>
          <t>割ってはいけない元気な人数</t>
        </is>
      </c>
      <c r="C14" s="23" t="inlineStr">
        <is>
          <t>desired に対する RUNNING の下限。台数は切り上げ。</t>
        </is>
      </c>
      <c r="D14" s="23" t="inlineStr">
        <is>
          <t>不健康タスクを魔法のように健全へ数えない。</t>
        </is>
      </c>
      <c r="E14" s="23" t="inlineStr">
        <is>
          <t>枠が無いとき、この下限を割らずに不健康タスクを 1 つずつ止めて容量を空ける。</t>
        </is>
      </c>
      <c r="F14" s="23" t="inlineStr">
        <is>
          <t>高</t>
        </is>
      </c>
    </row>
    <row r="15" ht="38" customHeight="1">
      <c r="A15" s="22" t="inlineStr">
        <is>
          <t>サーキットブレーカー</t>
        </is>
      </c>
      <c r="B15" s="23" t="inlineStr">
        <is>
          <t>新しい献立を切るブレーカー</t>
        </is>
      </c>
      <c r="C15" s="23" t="inlineStr">
        <is>
          <t>進行中デプロイの失敗回数。</t>
        </is>
      </c>
      <c r="D15" s="23" t="inlineStr">
        <is>
          <t>COMPLETED 後の 1 タスク故障を、サービス全体のロールバックにしない。</t>
        </is>
      </c>
      <c r="E15" s="23" t="inlineStr">
        <is>
          <t>閾値でデプロイを FAILED にし、新規起動を止める。rollback と COMPLETED があれば前のデプロイへ戻す。</t>
        </is>
      </c>
      <c r="F15" s="23" t="inlineStr">
        <is>
          <t>高</t>
        </is>
      </c>
    </row>
    <row r="16" ht="38" customHeight="1">
      <c r="A16" s="24" t="inlineStr">
        <is>
          <t>CloudWatch アラーム</t>
        </is>
      </c>
      <c r="B16" s="25" t="inlineStr">
        <is>
          <t>給食の味と速度を見る係</t>
        </is>
      </c>
      <c r="C16" s="25" t="inlineStr">
        <is>
          <t>CPU、レイテンシ、独自メトリクスなど、アラームにしたもの。</t>
        </is>
      </c>
      <c r="D16" s="25" t="inlineStr">
        <is>
          <t>コマンドの終了コードそのものは見ない。</t>
        </is>
      </c>
      <c r="E16" s="25" t="inlineStr">
        <is>
          <t>デプロイ中に ALARM なら、そのデプロイを FAILED にできる。bake time 中も見られる。</t>
        </is>
      </c>
      <c r="F16" s="25" t="inlineStr">
        <is>
          <t>中</t>
        </is>
      </c>
    </row>
    <row r="17" ht="38" customHeight="1">
      <c r="A17" s="24" t="inlineStr">
        <is>
          <t>AZ 再分散</t>
        </is>
      </c>
      <c r="B17" s="25" t="inlineStr">
        <is>
          <t>教室の偏りを直す係</t>
        </is>
      </c>
      <c r="C17" s="25" t="inlineStr">
        <is>
          <t>ゾーンごとのタスク数。</t>
        </is>
      </c>
      <c r="D17" s="25" t="inlineStr">
        <is>
          <t>ヘルスチェックの成否は見ない。</t>
        </is>
      </c>
      <c r="E17" s="25" t="inlineStr">
        <is>
          <t>少ないゾーンで起動し、多いゾーンのタスクを止める。2025-09-05 以降、対象サービスの新規作成では既定 ENABLED。</t>
        </is>
      </c>
      <c r="F17" s="25" t="inlineStr">
        <is>
          <t>中</t>
        </is>
      </c>
    </row>
  </sheetData>
  <autoFilter ref="A4:F17"/>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02_全体地図</oddHeader>
    <oddFooter>&amp;L&amp;"Meiryo UI"&amp;8 調査基準日 2026-10-02  公式ドキュメントに基づく解説  モノトーン / Meiryo UI&amp;R&amp;"Meiryo UI"&amp;8 &amp;P / &amp;N</oddFooter>
    <evenHeader/>
    <evenFooter/>
    <firstHeader/>
    <firstFooter/>
  </headerFooter>
</worksheet>
</file>

<file path=xl/worksheets/sheet4.xml><?xml version="1.0" encoding="utf-8"?>
<worksheet xmlns="http://schemas.openxmlformats.org/spreadsheetml/2006/main">
  <sheetPr>
    <tabColor rgb="004A4A4A"/>
    <outlinePr summaryBelow="1" summaryRight="1"/>
    <pageSetUpPr fitToPage="1"/>
  </sheetPr>
  <dimension ref="A1:F21"/>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22" customWidth="1" min="1" max="1"/>
    <col width="36" customWidth="1" min="2" max="2"/>
    <col width="48" customWidth="1" min="3" max="3"/>
    <col width="52" customWidth="1" min="4" max="4"/>
    <col width="48" customWidth="1" min="5" max="5"/>
    <col width="12" customWidth="1" min="6" max="6"/>
  </cols>
  <sheetData>
    <row r="1" ht="32" customHeight="1">
      <c r="A1" s="17" t="inlineStr">
        <is>
          <t>歴史と、必要になった経緯</t>
        </is>
      </c>
      <c r="B1" s="18" t="n"/>
      <c r="C1" s="18" t="n"/>
      <c r="D1" s="18" t="n"/>
      <c r="E1" s="18" t="n"/>
      <c r="F1" s="18" t="n"/>
    </row>
    <row r="2" ht="34" customHeight="1">
      <c r="A2" s="19" t="inlineStr">
        <is>
          <t>設定の名前は、その前に起きていた事故の名前でもあります。</t>
        </is>
      </c>
      <c r="B2" s="18" t="n"/>
      <c r="C2" s="18" t="n"/>
      <c r="D2" s="18" t="n"/>
      <c r="E2" s="18" t="n"/>
      <c r="F2" s="18" t="n"/>
    </row>
    <row r="3" ht="8" customHeight="1">
      <c r="A3" s="18" t="n"/>
      <c r="B3" s="18" t="n"/>
      <c r="C3" s="18" t="n"/>
      <c r="D3" s="18" t="n"/>
      <c r="E3" s="18" t="n"/>
      <c r="F3" s="18" t="n"/>
    </row>
    <row r="4" ht="32" customHeight="1">
      <c r="A4" s="9" t="inlineStr">
        <is>
          <t>時期</t>
        </is>
      </c>
      <c r="B4" s="9" t="inlineStr">
        <is>
          <t>できごと</t>
        </is>
      </c>
      <c r="C4" s="9" t="inlineStr">
        <is>
          <t>それまで困っていたこと</t>
        </is>
      </c>
      <c r="D4" s="9" t="inlineStr">
        <is>
          <t>入ったもの</t>
        </is>
      </c>
      <c r="E4" s="9" t="inlineStr">
        <is>
          <t>今の読み方</t>
        </is>
      </c>
      <c r="F4" s="9" t="inlineStr">
        <is>
          <t>重要度</t>
        </is>
      </c>
    </row>
    <row r="5" ht="38" customHeight="1">
      <c r="A5" s="20" t="inlineStr">
        <is>
          <t>2014-06</t>
        </is>
      </c>
      <c r="B5" s="21" t="inlineStr">
        <is>
          <t>Docker 1.0</t>
        </is>
      </c>
      <c r="C5" s="21" t="inlineStr">
        <is>
          <t>配布と実行の単位が欲しかった。</t>
        </is>
      </c>
      <c r="D5" s="21" t="inlineStr">
        <is>
          <t>コンテナの「動いている」は、まずプロセスが終了していないこと。</t>
        </is>
      </c>
      <c r="E5" s="21" t="inlineStr">
        <is>
          <t>プロセス生存と、仕事ができていることは、最初から別だった。</t>
        </is>
      </c>
      <c r="F5" s="21" t="inlineStr">
        <is>
          <t>基礎</t>
        </is>
      </c>
    </row>
    <row r="6" ht="23" customHeight="1">
      <c r="A6" s="26" t="inlineStr">
        <is>
          <t>2014-11-13</t>
        </is>
      </c>
      <c r="B6" s="27" t="inlineStr">
        <is>
          <t>Amazon ECS を re:Invent で発表</t>
        </is>
      </c>
      <c r="C6" s="27" t="inlineStr">
        <is>
          <t>EC2 上のコンテナ運用を自分で組み上げていた。</t>
        </is>
      </c>
      <c r="D6" s="27" t="inlineStr">
        <is>
          <t>クラスタとタスク。一般提供は 2015-04-09。</t>
        </is>
      </c>
      <c r="E6" s="27" t="inlineStr">
        <is>
          <t>サービス、ALB、検査は後から足されている。</t>
        </is>
      </c>
      <c r="F6" s="27" t="inlineStr">
        <is>
          <t>基礎</t>
        </is>
      </c>
    </row>
    <row r="7" ht="38" customHeight="1">
      <c r="A7" s="22" t="inlineStr">
        <is>
          <t>2016-07-28</t>
        </is>
      </c>
      <c r="B7" s="23" t="inlineStr">
        <is>
          <t>Docker 1.12 の HEALTHCHECK</t>
        </is>
      </c>
      <c r="C7" s="23" t="inlineStr">
        <is>
          <t>プロセスは生きているのに、応答だけが死ぬ。</t>
        </is>
      </c>
      <c r="D7" s="23" t="inlineStr">
        <is>
          <t>間隔、タイムアウト、連続失敗で healthy / unhealthy。</t>
        </is>
      </c>
      <c r="E7" s="23" t="inlineStr">
        <is>
          <t>ECS のコンテナ検査はこのモデルをタスク定義へ写したもの。</t>
        </is>
      </c>
      <c r="F7" s="23" t="inlineStr">
        <is>
          <t>高</t>
        </is>
      </c>
    </row>
    <row r="8" ht="38" customHeight="1">
      <c r="A8" s="22" t="inlineStr">
        <is>
          <t>2016-08-11</t>
        </is>
      </c>
      <c r="B8" s="23" t="inlineStr">
        <is>
          <t>Application Load Balancer</t>
        </is>
      </c>
      <c r="C8" s="23" t="inlineStr">
        <is>
          <t>Classic LB ではパスベースの振り分けと、ターゲット単位の検査が弱かった。</t>
        </is>
      </c>
      <c r="D8" s="23" t="inlineStr">
        <is>
          <t>ターゲットグループ。外から HTTP で検査する受付。</t>
        </is>
      </c>
      <c r="E8" s="23" t="inlineStr">
        <is>
          <t>ECS はタスクをターゲットとして登録する側。ALB 自身はタスクを削除しない。</t>
        </is>
      </c>
      <c r="F8" s="23" t="inlineStr">
        <is>
          <t>高</t>
        </is>
      </c>
    </row>
    <row r="9" ht="38" customHeight="1">
      <c r="A9" s="22" t="inlineStr">
        <is>
          <t>2017-05</t>
        </is>
      </c>
      <c r="B9" s="23" t="inlineStr">
        <is>
          <t>Docker 17.05 の start period</t>
        </is>
      </c>
      <c r="C9" s="23" t="inlineStr">
        <is>
          <t>起動中の失敗まで数えて、起動途中で unhealthy になる。</t>
        </is>
      </c>
      <c r="D9" s="23" t="inlineStr">
        <is>
          <t>準備時間中の失敗は連続回数に数えない。成功した瞬間に健康へ進む。</t>
        </is>
      </c>
      <c r="E9" s="23" t="inlineStr">
        <is>
          <t>ECS の startPeriod。範囲は 0〜300 秒。</t>
        </is>
      </c>
      <c r="F9" s="23" t="inlineStr">
        <is>
          <t>高</t>
        </is>
      </c>
    </row>
    <row r="10" ht="38" customHeight="1">
      <c r="A10" s="22" t="inlineStr">
        <is>
          <t>2017-12-27</t>
        </is>
      </c>
      <c r="B10" s="23" t="inlineStr">
        <is>
          <t>ECS の ELB 猶予期間</t>
        </is>
      </c>
      <c r="C10" s="23" t="inlineStr">
        <is>
          <t>起動が遅いだけで ELB が不健康にし、スケジューラがタスクを早く止める。</t>
        </is>
      </c>
      <c r="D10" s="23" t="inlineStr">
        <is>
          <t>healthCheckGracePeriodSeconds。当時の発表は ELB を無視する、という説明。</t>
        </is>
      </c>
      <c r="E10" s="23" t="inlineStr">
        <is>
          <t>2026年の文書では ELB、VPC Lattice、コンテナ検査を無視する。既定 0。最大約 68 年。</t>
        </is>
      </c>
      <c r="F10" s="23" t="inlineStr">
        <is>
          <t>高</t>
        </is>
      </c>
    </row>
    <row r="11" ht="53" customHeight="1">
      <c r="A11" s="22" t="inlineStr">
        <is>
          <t>2018-03-08</t>
        </is>
      </c>
      <c r="B11" s="23" t="inlineStr">
        <is>
          <t>ECS コンテナヘルスチェック</t>
        </is>
      </c>
      <c r="C11" s="23" t="inlineStr">
        <is>
          <t>LB が無いサービスは、プロセスが落ちない限り交換されない。検査種別も HTTP / TCP に限られる。</t>
        </is>
      </c>
      <c r="D11" s="23" t="inlineStr">
        <is>
          <t>タスク定義の healthCheck。必須コンテナからタスク健康を決め、サービスが交換する。</t>
        </is>
      </c>
      <c r="E11" s="23" t="inlineStr">
        <is>
          <t>エージェント 1.17.0 以上。Fargate はプラットフォーム 1.1.0 以上。Classic LB のサービスでは非対応。</t>
        </is>
      </c>
      <c r="F11" s="23" t="inlineStr">
        <is>
          <t>高</t>
        </is>
      </c>
    </row>
    <row r="12" ht="38" customHeight="1">
      <c r="A12" s="22" t="inlineStr">
        <is>
          <t>2020-11-30 / 12-22</t>
        </is>
      </c>
      <c r="B12" s="23" t="inlineStr">
        <is>
          <t>デプロイメントサーキットブレーカー</t>
        </is>
      </c>
      <c r="C12" s="23" t="inlineStr">
        <is>
          <t>壊れたデプロイを、スケジューラが終わりなく再試行する。</t>
        </is>
      </c>
      <c r="D12" s="23" t="inlineStr">
        <is>
          <t>失敗が閾値で FAILED。任意で最後の COMPLETED へ戻す。rolloutState。</t>
        </is>
      </c>
      <c r="E12" s="23" t="inlineStr">
        <is>
          <t>発表時の下限は 10。式は desired の 50% を 10〜200 に収める。</t>
        </is>
      </c>
      <c r="F12" s="23" t="inlineStr">
        <is>
          <t>高</t>
        </is>
      </c>
    </row>
    <row r="13" ht="38" customHeight="1">
      <c r="A13" s="22" t="inlineStr">
        <is>
          <t>2022-12-20</t>
        </is>
      </c>
      <c r="B13" s="23" t="inlineStr">
        <is>
          <t>CloudWatch アラームによるデプロイ失敗</t>
        </is>
      </c>
      <c r="C13" s="23" t="inlineStr">
        <is>
          <t>検査は通るが、レイテンシや CPU が壊れるデプロイ。</t>
        </is>
      </c>
      <c r="D13" s="23" t="inlineStr">
        <is>
          <t>アラームが ALARM なら FAILED。任意でロールバック。定常後の bake time。</t>
        </is>
      </c>
      <c r="E13" s="23" t="inlineStr">
        <is>
          <t>ブレーカーと併用できる。先に条件を満たした方が失敗を開始する。</t>
        </is>
      </c>
      <c r="F13" s="23" t="inlineStr">
        <is>
          <t>高</t>
        </is>
      </c>
    </row>
    <row r="14" ht="38" customHeight="1">
      <c r="A14" s="22" t="inlineStr">
        <is>
          <t>2023-10-23</t>
        </is>
      </c>
      <c r="B14" s="23" t="inlineStr">
        <is>
          <t>不健康タスクは代わりを先に起動</t>
        </is>
      </c>
      <c r="C14" s="23" t="inlineStr">
        <is>
          <t>負荷で偽の不健康が出ると、先に止めて容量が落ち、さらに不健康が増える。</t>
        </is>
      </c>
      <c r="D14" s="23" t="inlineStr">
        <is>
          <t>maximumPercent の枠で置換を先に起動し、健全になってから古いタスクを止める。</t>
        </is>
      </c>
      <c r="E14" s="23" t="inlineStr">
        <is>
          <t>コンテナ検査とロードバランサー検査の両方が対象、と発表文にある。</t>
        </is>
      </c>
      <c r="F14" s="23" t="inlineStr">
        <is>
          <t>高</t>
        </is>
      </c>
    </row>
    <row r="15" ht="38" customHeight="1">
      <c r="A15" s="22" t="inlineStr">
        <is>
          <t>2024-01-08</t>
        </is>
      </c>
      <c r="B15" s="23" t="inlineStr">
        <is>
          <t>ブレーカー下限が 3 へ</t>
        </is>
      </c>
      <c r="C15" s="23" t="inlineStr">
        <is>
          <t>desired が小さいサービスでも失敗を 10 回数えないと戻らない。</t>
        </is>
      </c>
      <c r="D15" s="23" t="inlineStr">
        <is>
          <t>下限 10 から 3。既存のブレーカー利用サービスへ自動適用。</t>
        </is>
      </c>
      <c r="E15" s="23" t="inlineStr">
        <is>
          <t>desired 1 でも閾値は 3。1 回では開かない。</t>
        </is>
      </c>
      <c r="F15" s="23" t="inlineStr">
        <is>
          <t>高</t>
        </is>
      </c>
    </row>
    <row r="16" ht="38" customHeight="1">
      <c r="A16" s="24" t="inlineStr">
        <is>
          <t>2025-07-17</t>
        </is>
      </c>
      <c r="B16" s="25" t="inlineStr">
        <is>
          <t>ECS ネイティブ blue/green</t>
        </is>
      </c>
      <c r="C16" s="25" t="inlineStr">
        <is>
          <t>CodeDeploy を組まないと、青と緑の切替と即時の戻しがやりにくい。</t>
        </is>
      </c>
      <c r="D16" s="25" t="inlineStr">
        <is>
          <t>ECS コントローラの戦略として blue/green、linear、canary。bake time とライフサイクルフック。</t>
        </is>
      </c>
      <c r="E16" s="25" t="inlineStr">
        <is>
          <t>API 注記にはローリング向け、という古い一文も残る。使うコントローラを確認する。</t>
        </is>
      </c>
      <c r="F16" s="25" t="inlineStr">
        <is>
          <t>中</t>
        </is>
      </c>
    </row>
    <row r="17" ht="23" customHeight="1">
      <c r="A17" s="24" t="inlineStr">
        <is>
          <t>2025-09-05</t>
        </is>
      </c>
      <c r="B17" s="25" t="inlineStr">
        <is>
          <t>AZ 再分散の既定が ENABLED</t>
        </is>
      </c>
      <c r="C17" s="25" t="inlineStr">
        <is>
          <t>ゾーン障害のあと、タスクが片側へ偏ったまま残る。</t>
        </is>
      </c>
      <c r="D17" s="25" t="inlineStr">
        <is>
          <t>新規作成で、対象サービスは指定が無いと再分散が有効。</t>
        </is>
      </c>
      <c r="E17" s="25" t="inlineStr">
        <is>
          <t>ヘルスチェック失敗ではない置換が起きる。</t>
        </is>
      </c>
      <c r="F17" s="25" t="inlineStr">
        <is>
          <t>中</t>
        </is>
      </c>
    </row>
    <row r="18" ht="38" customHeight="1">
      <c r="A18" s="24" t="inlineStr">
        <is>
          <t>2026-01-30</t>
        </is>
      </c>
      <c r="B18" s="25" t="inlineStr">
        <is>
          <t>コンテナ健康の CloudWatch メトリクス</t>
        </is>
      </c>
      <c r="C18" s="25" t="inlineStr">
        <is>
          <t>検査結果を、タスク画面以外でアラームにしにくかった。</t>
        </is>
      </c>
      <c r="D18" s="25" t="inlineStr">
        <is>
          <t>UnHealthyContainerHealthStatus。0 が HEALTHY、1 が UNHEALTHY。</t>
        </is>
      </c>
      <c r="E18" s="25" t="inlineStr">
        <is>
          <t>Container Insights 拡張オブザーバビリティと、タスク定義の検査が前提。</t>
        </is>
      </c>
      <c r="F18" s="25" t="inlineStr">
        <is>
          <t>中</t>
        </is>
      </c>
    </row>
    <row r="19" ht="38" customHeight="1">
      <c r="A19" s="24" t="inlineStr">
        <is>
          <t>2026-05-19</t>
        </is>
      </c>
      <c r="B19" s="25" t="inlineStr">
        <is>
          <t>デプロイの一時停止と再開</t>
        </is>
      </c>
      <c r="C19" s="25" t="inlineStr">
        <is>
          <t>承認や試験のあいだ、デプロイを人手で止めたい。</t>
        </is>
      </c>
      <c r="D19" s="25" t="inlineStr">
        <is>
          <t>PAUSE フック。ContinueServiceDeployment。最大 14 日。時間切れは続行かロールバック。</t>
        </is>
      </c>
      <c r="E19" s="25" t="inlineStr">
        <is>
          <t>検査が成功しても、フックが止めれば本番確定ではない。</t>
        </is>
      </c>
      <c r="F19" s="25" t="inlineStr">
        <is>
          <t>中</t>
        </is>
      </c>
    </row>
    <row r="20" ht="38" customHeight="1">
      <c r="A20" s="22" t="inlineStr">
        <is>
          <t>2026-07-01</t>
        </is>
      </c>
      <c r="B20" s="23" t="inlineStr">
        <is>
          <t>ブレーカー閾値をサービスごとに設定</t>
        </is>
      </c>
      <c r="C20" s="23" t="inlineStr">
        <is>
          <t>50%、下限 3、上限 200、健全化でカウント戻し、が全サービス共通。</t>
        </is>
      </c>
      <c r="D20" s="23" t="inlineStr">
        <is>
          <t>resetOnHealthyTask と thresholdConfiguration。既定は従来と同じ。</t>
        </is>
      </c>
      <c r="E20" s="23" t="inlineStr">
        <is>
          <t>BOUNDED_PERCENT、UNBOUNDED_PERCENT、COUNT。</t>
        </is>
      </c>
      <c r="F20" s="23" t="inlineStr">
        <is>
          <t>高</t>
        </is>
      </c>
    </row>
    <row r="21" ht="38" customHeight="1">
      <c r="A21" s="24" t="inlineStr">
        <is>
          <t>2026-08-24</t>
        </is>
      </c>
      <c r="B21" s="25" t="inlineStr">
        <is>
          <t>エージェント接続の自動検知</t>
        </is>
      </c>
      <c r="C21" s="25" t="inlineStr">
        <is>
          <t>土台の接続が切れても、アプリ検査とは別問題として残りやすい。</t>
        </is>
      </c>
      <c r="D21" s="25" t="inlineStr">
        <is>
          <t>AGENT_CONNECTIVITY。Fargate と Managed Instances はドレインと置換まで自動。</t>
        </is>
      </c>
      <c r="E21" s="25" t="inlineStr">
        <is>
          <t>接続断はコンテナを UNHEALTHY にしない、という従来仕様は維持される。別レイヤ。</t>
        </is>
      </c>
      <c r="F21" s="25" t="inlineStr">
        <is>
          <t>中</t>
        </is>
      </c>
    </row>
  </sheetData>
  <autoFilter ref="A4:F21"/>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03_歴史</oddHeader>
    <oddFooter>&amp;L&amp;"Meiryo UI"&amp;8 調査基準日 2026-10-02  公式ドキュメントに基づく解説  モノトーン / Meiryo UI&amp;R&amp;"Meiryo UI"&amp;8 &amp;P / &amp;N</oddFooter>
    <evenHeader/>
    <evenFooter/>
    <firstHeader/>
    <firstFooter/>
  </headerFooter>
</worksheet>
</file>

<file path=xl/worksheets/sheet5.xml><?xml version="1.0" encoding="utf-8"?>
<worksheet xmlns="http://schemas.openxmlformats.org/spreadsheetml/2006/main">
  <sheetPr>
    <tabColor rgb="004A4A4A"/>
    <outlinePr summaryBelow="1" summaryRight="1"/>
    <pageSetUpPr fitToPage="1"/>
  </sheetPr>
  <dimension ref="A1:F14"/>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18" customWidth="1" min="1" max="1"/>
    <col width="38" customWidth="1" min="2" max="2"/>
    <col width="40" customWidth="1" min="3" max="3"/>
    <col width="46" customWidth="1" min="4" max="4"/>
    <col width="42" customWidth="1" min="5" max="5"/>
    <col width="12" customWidth="1" min="6" max="6"/>
  </cols>
  <sheetData>
    <row r="1" ht="32" customHeight="1">
      <c r="A1" s="17" t="inlineStr">
        <is>
          <t>三人の検査と、四人目のブレーカー</t>
        </is>
      </c>
      <c r="B1" s="18" t="n"/>
      <c r="C1" s="18" t="n"/>
      <c r="D1" s="18" t="n"/>
      <c r="E1" s="18" t="n"/>
      <c r="F1" s="18" t="n"/>
    </row>
    <row r="2" ht="34" customHeight="1">
      <c r="A2" s="19" t="inlineStr">
        <is>
          <t>列を縦に読むと、一つの言葉「ヘルスチェック」が四つの仕事に分かれます。</t>
        </is>
      </c>
      <c r="B2" s="18" t="n"/>
      <c r="C2" s="18" t="n"/>
      <c r="D2" s="18" t="n"/>
      <c r="E2" s="18" t="n"/>
      <c r="F2" s="18" t="n"/>
    </row>
    <row r="3" ht="8" customHeight="1">
      <c r="A3" s="18" t="n"/>
      <c r="B3" s="18" t="n"/>
      <c r="C3" s="18" t="n"/>
      <c r="D3" s="18" t="n"/>
      <c r="E3" s="18" t="n"/>
      <c r="F3" s="18" t="n"/>
    </row>
    <row r="4" ht="32" customHeight="1">
      <c r="A4" s="9" t="inlineStr">
        <is>
          <t>比較</t>
        </is>
      </c>
      <c r="B4" s="9" t="inlineStr">
        <is>
          <t>コンテナヘルスチェック</t>
        </is>
      </c>
      <c r="C4" s="9" t="inlineStr">
        <is>
          <t>ALB / NLB</t>
        </is>
      </c>
      <c r="D4" s="9" t="inlineStr">
        <is>
          <t>サービススケジューラ</t>
        </is>
      </c>
      <c r="E4" s="9" t="inlineStr">
        <is>
          <t>サーキットブレーカー</t>
        </is>
      </c>
      <c r="F4" s="9" t="inlineStr">
        <is>
          <t>重要度</t>
        </is>
      </c>
    </row>
    <row r="5" ht="38" customHeight="1">
      <c r="A5" s="22" t="inlineStr">
        <is>
          <t>質問</t>
        </is>
      </c>
      <c r="B5" s="23" t="inlineStr">
        <is>
          <t>中でコマンドは成功するか</t>
        </is>
      </c>
      <c r="C5" s="23" t="inlineStr">
        <is>
          <t>外から届いて、期待した応答か</t>
        </is>
      </c>
      <c r="D5" s="23" t="inlineStr">
        <is>
          <t>この箱を健全な人数に数えるか。数えないなら交換するか</t>
        </is>
      </c>
      <c r="E5" s="23" t="inlineStr">
        <is>
          <t>この新しいデプロイは、もう失敗と宣言するか</t>
        </is>
      </c>
      <c r="F5" s="23" t="inlineStr">
        <is>
          <t>高</t>
        </is>
      </c>
    </row>
    <row r="6" ht="23" customHeight="1">
      <c r="A6" s="22" t="inlineStr">
        <is>
          <t>書く場所</t>
        </is>
      </c>
      <c r="B6" s="23" t="inlineStr">
        <is>
          <t>タスク定義のコンテナ</t>
        </is>
      </c>
      <c r="C6" s="23" t="inlineStr">
        <is>
          <t>ターゲットグループ</t>
        </is>
      </c>
      <c r="D6" s="23" t="inlineStr">
        <is>
          <t>サービス</t>
        </is>
      </c>
      <c r="E6" s="23" t="inlineStr">
        <is>
          <t>サービスの deploymentConfiguration</t>
        </is>
      </c>
      <c r="F6" s="23" t="inlineStr">
        <is>
          <t>高</t>
        </is>
      </c>
    </row>
    <row r="7" ht="23" customHeight="1">
      <c r="A7" s="22" t="inlineStr">
        <is>
          <t>実行者</t>
        </is>
      </c>
      <c r="B7" s="23" t="inlineStr">
        <is>
          <t>コンテナ内部。エージェントが結果を報告</t>
        </is>
      </c>
      <c r="C7" s="23" t="inlineStr">
        <is>
          <t>ロードバランサーのノード</t>
        </is>
      </c>
      <c r="D7" s="23" t="inlineStr">
        <is>
          <t>ECS コントロールプレーンのスケジューラ</t>
        </is>
      </c>
      <c r="E7" s="23" t="inlineStr">
        <is>
          <t>同じスケジューラの、デプロイ監視</t>
        </is>
      </c>
      <c r="F7" s="23" t="inlineStr">
        <is>
          <t>高</t>
        </is>
      </c>
    </row>
    <row r="8" ht="23" customHeight="1">
      <c r="A8" s="22" t="inlineStr">
        <is>
          <t>成功の印</t>
        </is>
      </c>
      <c r="B8" s="23" t="inlineStr">
        <is>
          <t>終了コード 0</t>
        </is>
      </c>
      <c r="C8" s="23" t="inlineStr">
        <is>
          <t>ALB は既定 HTTP 200。新規は成功 1 回</t>
        </is>
      </c>
      <c r="D8" s="23" t="inlineStr">
        <is>
          <t>第10章の四つの場合</t>
        </is>
      </c>
      <c r="E8" s="23" t="inlineStr">
        <is>
          <t>定常状態へ到達し COMPLETED</t>
        </is>
      </c>
      <c r="F8" s="23" t="inlineStr">
        <is>
          <t>高</t>
        </is>
      </c>
    </row>
    <row r="9" ht="38" customHeight="1">
      <c r="A9" s="22" t="inlineStr">
        <is>
          <t>失敗の印</t>
        </is>
      </c>
      <c r="B9" s="23" t="inlineStr">
        <is>
          <t>連続 retries 回、または timeout</t>
        </is>
      </c>
      <c r="C9" s="23" t="inlineStr">
        <is>
          <t>連続 UnhealthyThresholdCount。既定 2</t>
        </is>
      </c>
      <c r="D9" s="23" t="inlineStr">
        <is>
          <t>猶予の外で、コンテナ UNHEALTHY または LB / VPC Lattice の unhealthy、または必須プロセス終了</t>
        </is>
      </c>
      <c r="E9" s="23" t="inlineStr">
        <is>
          <t>失敗カウントが閾値に到達</t>
        </is>
      </c>
      <c r="F9" s="23" t="inlineStr">
        <is>
          <t>高</t>
        </is>
      </c>
    </row>
    <row r="10" ht="38" customHeight="1">
      <c r="A10" s="22" t="inlineStr">
        <is>
          <t>トラフィック</t>
        </is>
      </c>
      <c r="B10" s="23" t="inlineStr">
        <is>
          <t>直接は止めない</t>
        </is>
      </c>
      <c r="C10" s="23" t="inlineStr">
        <is>
          <t>そのターゲットへの新規通信を止める。全員不健康ならフェイルオープン</t>
        </is>
      </c>
      <c r="D10" s="23" t="inlineStr">
        <is>
          <t>タスクを止めると結果として通信も消える</t>
        </is>
      </c>
      <c r="E10" s="23" t="inlineStr">
        <is>
          <t>デプロイの新規タスク起動を止める。既存の健全タスクの通信規則そのものは変えない</t>
        </is>
      </c>
      <c r="F10" s="23" t="inlineStr">
        <is>
          <t>高</t>
        </is>
      </c>
    </row>
    <row r="11" ht="38" customHeight="1">
      <c r="A11" s="22" t="inlineStr">
        <is>
          <t>タスクの生死</t>
        </is>
      </c>
      <c r="B11" s="23" t="inlineStr">
        <is>
          <t>必須なら、猶予のあとスケジューラが止め得る</t>
        </is>
      </c>
      <c r="C11" s="23" t="inlineStr">
        <is>
          <t>自分ではタスクを削除しない</t>
        </is>
      </c>
      <c r="D11" s="23" t="inlineStr">
        <is>
          <t>止めるのも起動するのもここ</t>
        </is>
      </c>
      <c r="E11" s="23" t="inlineStr">
        <is>
          <t>FAILED にすると新しいタスクを起動しない</t>
        </is>
      </c>
      <c r="F11" s="23" t="inlineStr">
        <is>
          <t>高</t>
        </is>
      </c>
    </row>
    <row r="12" ht="38" customHeight="1">
      <c r="A12" s="22" t="inlineStr">
        <is>
          <t>起動直後</t>
        </is>
      </c>
      <c r="B12" s="23" t="inlineStr">
        <is>
          <t>startPeriod は失敗を数えない。最大 300 秒</t>
        </is>
      </c>
      <c r="C12" s="23" t="inlineStr">
        <is>
          <t>登録後すぐに検査する。猶予では止まらない</t>
        </is>
      </c>
      <c r="D12" s="23" t="inlineStr">
        <is>
          <t>猶予のあいだ不健康では止めない</t>
        </is>
      </c>
      <c r="E12" s="23" t="inlineStr">
        <is>
          <t>起動できないタスクを第1段階で数える</t>
        </is>
      </c>
      <c r="F12" s="23" t="inlineStr">
        <is>
          <t>高</t>
        </is>
      </c>
    </row>
    <row r="13" ht="38" customHeight="1">
      <c r="A13" s="22" t="inlineStr">
        <is>
          <t>デプロイ完了後</t>
        </is>
      </c>
      <c r="B13" s="23" t="inlineStr">
        <is>
          <t>落ちれば、そのタスクの交換理由になる</t>
        </is>
      </c>
      <c r="C13" s="23" t="inlineStr">
        <is>
          <t>落ちれば、そのターゲットを外し、スケジューラの交換理由にもなる</t>
        </is>
      </c>
      <c r="D13" s="23" t="inlineStr">
        <is>
          <t>1 タスクを交換し続ける</t>
        </is>
      </c>
      <c r="E13" s="23" t="inlineStr">
        <is>
          <t>COMPLETED 後は、そのデプロイをロールバックしない</t>
        </is>
      </c>
      <c r="F13" s="23" t="inlineStr">
        <is>
          <t>高</t>
        </is>
      </c>
    </row>
    <row r="14" ht="53" customHeight="1">
      <c r="A14" s="24" t="inlineStr">
        <is>
          <t>無いとどうなる</t>
        </is>
      </c>
      <c r="B14" s="25" t="inlineStr">
        <is>
          <t>プロセスが生きていれば、中で固まっても気づけない</t>
        </is>
      </c>
      <c r="C14" s="25" t="inlineStr">
        <is>
          <t>外から届かないのに、中の検査だけ成功して通信が来ない、または検査が無く振り分けもできない</t>
        </is>
      </c>
      <c r="D14" s="25" t="inlineStr">
        <is>
          <t>desired を埋めるだけで、仕事の生死は見ない</t>
        </is>
      </c>
      <c r="E14" s="25" t="inlineStr">
        <is>
          <t>壊れたデプロイが完了できないまま再試行され続ける</t>
        </is>
      </c>
      <c r="F14" s="25" t="inlineStr">
        <is>
          <t>中</t>
        </is>
      </c>
    </row>
  </sheetData>
  <autoFilter ref="A4:F14"/>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04_三人の検査</oddHeader>
    <oddFooter>&amp;L&amp;"Meiryo UI"&amp;8 調査基準日 2026-10-02  公式ドキュメントに基づく解説  モノトーン / Meiryo UI&amp;R&amp;"Meiryo UI"&amp;8 &amp;P / &amp;N</oddFooter>
    <evenHeader/>
    <evenFooter/>
    <firstHeader/>
    <firstFooter/>
  </headerFooter>
</worksheet>
</file>

<file path=xl/worksheets/sheet6.xml><?xml version="1.0" encoding="utf-8"?>
<worksheet xmlns="http://schemas.openxmlformats.org/spreadsheetml/2006/main">
  <sheetPr>
    <tabColor rgb="004A4A4A"/>
    <outlinePr summaryBelow="1" summaryRight="1"/>
    <pageSetUpPr fitToPage="1"/>
  </sheetPr>
  <dimension ref="A1:G22"/>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28" customWidth="1" min="1" max="1"/>
    <col width="22" customWidth="1" min="2" max="2"/>
    <col width="28" customWidth="1" min="3" max="3"/>
    <col width="55" customWidth="1" min="4" max="4"/>
    <col width="36" customWidth="1" min="5" max="5"/>
    <col width="55" customWidth="1" min="6" max="6"/>
    <col width="12" customWidth="1" min="7" max="7"/>
  </cols>
  <sheetData>
    <row r="1" ht="32" customHeight="1">
      <c r="A1" s="17" t="inlineStr">
        <is>
          <t>コンテナヘルスチェックの設定</t>
        </is>
      </c>
      <c r="B1" s="18" t="n"/>
      <c r="C1" s="18" t="n"/>
      <c r="D1" s="18" t="n"/>
      <c r="E1" s="18" t="n"/>
      <c r="F1" s="18" t="n"/>
      <c r="G1" s="18" t="n"/>
    </row>
    <row r="2" ht="34" customHeight="1">
      <c r="A2" s="19" t="inlineStr">
        <is>
          <t>不健康までの目安は startPeriod + interval × retries 秒。これはタスクが消えるまでの時間ではありません。</t>
        </is>
      </c>
      <c r="B2" s="18" t="n"/>
      <c r="C2" s="18" t="n"/>
      <c r="D2" s="18" t="n"/>
      <c r="E2" s="18" t="n"/>
      <c r="F2" s="18" t="n"/>
      <c r="G2" s="18" t="n"/>
    </row>
    <row r="3" ht="8" customHeight="1">
      <c r="A3" s="18" t="n"/>
      <c r="B3" s="18" t="n"/>
      <c r="C3" s="18" t="n"/>
      <c r="D3" s="18" t="n"/>
      <c r="E3" s="18" t="n"/>
      <c r="F3" s="18" t="n"/>
      <c r="G3" s="18" t="n"/>
    </row>
    <row r="4" ht="32" customHeight="1">
      <c r="A4" s="9" t="inlineStr">
        <is>
          <t>項目</t>
        </is>
      </c>
      <c r="B4" s="9" t="inlineStr">
        <is>
          <t>既定</t>
        </is>
      </c>
      <c r="C4" s="9" t="inlineStr">
        <is>
          <t>範囲</t>
        </is>
      </c>
      <c r="D4" s="9" t="inlineStr">
        <is>
          <t>動作</t>
        </is>
      </c>
      <c r="E4" s="9" t="inlineStr">
        <is>
          <t>たとえ</t>
        </is>
      </c>
      <c r="F4" s="9" t="inlineStr">
        <is>
          <t>注意</t>
        </is>
      </c>
      <c r="G4" s="9" t="inlineStr">
        <is>
          <t>重要度</t>
        </is>
      </c>
    </row>
    <row r="5" ht="53" customHeight="1">
      <c r="A5" s="22" t="inlineStr">
        <is>
          <t>command</t>
        </is>
      </c>
      <c r="B5" s="23" t="inlineStr">
        <is>
          <t>指定するなら必須</t>
        </is>
      </c>
      <c r="C5" s="23" t="inlineStr">
        <is>
          <t>CMD または CMD-SHELL で始まる配列</t>
        </is>
      </c>
      <c r="D5" s="23" t="inlineStr">
        <is>
          <t>コンテナ内で実行する。終了コード 0 が成功、それ以外と timeout は失敗。</t>
        </is>
      </c>
      <c r="E5" s="23" t="inlineStr">
        <is>
          <t>聴診器で聞く言葉そのもの。</t>
        </is>
      </c>
      <c r="F5" s="23" t="inlineStr">
        <is>
          <t>API では ["CMD-SHELL", "curl -f http://localhost/health || exit 1"]。コンソール欄では角括弧と外側の引用符を付けない。コマンドはイメージに入っている必要がある。</t>
        </is>
      </c>
      <c r="G5" s="23" t="inlineStr">
        <is>
          <t>高</t>
        </is>
      </c>
    </row>
    <row r="6" ht="38" customHeight="1">
      <c r="A6" s="22" t="inlineStr">
        <is>
          <t>CMD</t>
        </is>
      </c>
      <c r="B6" s="23" t="inlineStr">
        <is>
          <t>—</t>
        </is>
      </c>
      <c r="C6" s="23" t="inlineStr">
        <is>
          <t>シェル不要な実行</t>
        </is>
      </c>
      <c r="D6" s="23" t="inlineStr">
        <is>
          <t>引数をそのまま実行する。パイプも || も展開しない。</t>
        </is>
      </c>
      <c r="E6" s="23" t="inlineStr">
        <is>
          <t>先生が直接耳を当てる。</t>
        </is>
      </c>
      <c r="F6" s="23" t="inlineStr">
        <is>
          <t>シェルの無いイメージではこちら。検査用バイナリをイメージに入れる。</t>
        </is>
      </c>
      <c r="G6" s="23" t="inlineStr">
        <is>
          <t>高</t>
        </is>
      </c>
    </row>
    <row r="7" ht="23" customHeight="1">
      <c r="A7" s="22" t="inlineStr">
        <is>
          <t>CMD-SHELL</t>
        </is>
      </c>
      <c r="B7" s="23" t="inlineStr">
        <is>
          <t>—</t>
        </is>
      </c>
      <c r="C7" s="23" t="inlineStr">
        <is>
          <t>既定シェル経由</t>
        </is>
      </c>
      <c r="D7" s="23" t="inlineStr">
        <is>
          <t>パイプ、||、リダイレクト、環境変数をシェルが解釈する。</t>
        </is>
      </c>
      <c r="E7" s="23" t="inlineStr">
        <is>
          <t>先生が筆記具を使ってから耳を当てる。</t>
        </is>
      </c>
      <c r="F7" s="23" t="inlineStr">
        <is>
          <t>distroless にはシェルが無く、失敗し続ける。</t>
        </is>
      </c>
      <c r="G7" s="23" t="inlineStr">
        <is>
          <t>高</t>
        </is>
      </c>
    </row>
    <row r="8" ht="53" customHeight="1">
      <c r="A8" s="22" t="inlineStr">
        <is>
          <t>interval</t>
        </is>
      </c>
      <c r="B8" s="23" t="inlineStr">
        <is>
          <t>30 秒</t>
        </is>
      </c>
      <c r="C8" s="23" t="inlineStr">
        <is>
          <t>5〜300 秒</t>
        </is>
      </c>
      <c r="D8" s="23" t="inlineStr">
        <is>
          <t>検査と検査の間隔。command があるときだけ意味がある。</t>
        </is>
      </c>
      <c r="E8" s="23" t="inlineStr">
        <is>
          <t>聴診の間隔。</t>
        </is>
      </c>
      <c r="F8" s="23" t="inlineStr">
        <is>
          <t>初回が 0 秒後か interval 秒後かは、公開ドキュメントが秒単位で保証していない。見積もりは startPeriod + interval × retries。</t>
        </is>
      </c>
      <c r="G8" s="23" t="inlineStr">
        <is>
          <t>高</t>
        </is>
      </c>
    </row>
    <row r="9" ht="38" customHeight="1">
      <c r="A9" s="22" t="inlineStr">
        <is>
          <t>timeout</t>
        </is>
      </c>
      <c r="B9" s="23" t="inlineStr">
        <is>
          <t>5 秒</t>
        </is>
      </c>
      <c r="C9" s="23" t="inlineStr">
        <is>
          <t>2〜60 秒</t>
        </is>
      </c>
      <c r="D9" s="23" t="inlineStr">
        <is>
          <t>1 回がこの秒数で終わらなければ、その回は失敗。</t>
        </is>
      </c>
      <c r="E9" s="23" t="inlineStr">
        <is>
          <t>一回の聴診で待ってよい時間。</t>
        </is>
      </c>
      <c r="F9" s="23" t="inlineStr">
        <is>
          <t>ハングするコマンドは、失敗1回につき最大 timeout 秒を使う。interval より短くする。</t>
        </is>
      </c>
      <c r="G9" s="23" t="inlineStr">
        <is>
          <t>高</t>
        </is>
      </c>
    </row>
    <row r="10" ht="38" customHeight="1">
      <c r="A10" s="22" t="inlineStr">
        <is>
          <t>retries</t>
        </is>
      </c>
      <c r="B10" s="23" t="inlineStr">
        <is>
          <t>3</t>
        </is>
      </c>
      <c r="C10" s="23" t="inlineStr">
        <is>
          <t>1〜10</t>
        </is>
      </c>
      <c r="D10" s="23" t="inlineStr">
        <is>
          <t>連続失敗がこの回数に達すると UNHEALTHY。</t>
        </is>
      </c>
      <c r="E10" s="23" t="inlineStr">
        <is>
          <t>連続で具合が悪いと記録する回数。</t>
        </is>
      </c>
      <c r="F10" s="23" t="inlineStr">
        <is>
          <t>「初回のあと追加で3回」ではない。Docker の連続失敗回数に対応し、3 なら連続3回。</t>
        </is>
      </c>
      <c r="G10" s="23" t="inlineStr">
        <is>
          <t>高</t>
        </is>
      </c>
    </row>
    <row r="11" ht="53" customHeight="1">
      <c r="A11" s="22" t="inlineStr">
        <is>
          <t>startPeriod</t>
        </is>
      </c>
      <c r="B11" s="23" t="inlineStr">
        <is>
          <t>無効（0）</t>
        </is>
      </c>
      <c r="C11" s="23" t="inlineStr">
        <is>
          <t>0〜300 秒</t>
        </is>
      </c>
      <c r="D11" s="23" t="inlineStr">
        <is>
          <t>この間の失敗は retries に数えない。この間に1回成功すると、その時点で HEALTHY。以降の失敗は残りの startPeriod があっても数える。</t>
        </is>
      </c>
      <c r="E11" s="23" t="inlineStr">
        <is>
          <t>準備運動中の失敗は記録しない。一度できたら、そこから本番の記録。</t>
        </is>
      </c>
      <c r="F11" s="23" t="inlineStr">
        <is>
          <t>検査は止まらない。最大300秒なので、それより遅い起動はサービスの猶予と、成功する検査の設計で補う。</t>
        </is>
      </c>
      <c r="G11" s="23" t="inlineStr">
        <is>
          <t>高</t>
        </is>
      </c>
    </row>
    <row r="12" ht="38" customHeight="1">
      <c r="A12" s="22" t="inlineStr">
        <is>
          <t>終了コード</t>
        </is>
      </c>
      <c r="B12" s="23" t="inlineStr">
        <is>
          <t>—</t>
        </is>
      </c>
      <c r="C12" s="23" t="inlineStr">
        <is>
          <t>0 だけが成功</t>
        </is>
      </c>
      <c r="D12" s="23" t="inlineStr">
        <is>
          <t>0 以外はすべて失敗。curl -f は 4xx/5xx で非0。</t>
        </is>
      </c>
      <c r="E12" s="23" t="inlineStr">
        <is>
          <t>返事が「はい」だけが合格。</t>
        </is>
      </c>
      <c r="F12" s="23" t="inlineStr">
        <is>
          <t>シェルがコマンドを見つけられないときも非0。検査の失敗と、アプリの失敗が同じに見える。</t>
        </is>
      </c>
      <c r="G12" s="23" t="inlineStr">
        <is>
          <t>高</t>
        </is>
      </c>
    </row>
    <row r="13" ht="38" customHeight="1">
      <c r="A13" s="22" t="inlineStr">
        <is>
          <t>タスク定義とイメージ</t>
        </is>
      </c>
      <c r="B13" s="23" t="inlineStr">
        <is>
          <t>イメージの HEALTHCHECK は無視</t>
        </is>
      </c>
      <c r="C13" s="23" t="inlineStr">
        <is>
          <t>タスク定義が優先</t>
        </is>
      </c>
      <c r="D13" s="23" t="inlineStr">
        <is>
          <t>エージェントはタスク定義に書いた検査だけを監視する。書くとイメージ側を上書きする。</t>
        </is>
      </c>
      <c r="E13" s="23" t="inlineStr">
        <is>
          <t>保健室は、提出した問診票だけを見る。</t>
        </is>
      </c>
      <c r="F13" s="23" t="inlineStr">
        <is>
          <t>Dockerfile に書いただけで交換は起きない。</t>
        </is>
      </c>
      <c r="G13" s="23" t="inlineStr">
        <is>
          <t>高</t>
        </is>
      </c>
    </row>
    <row r="14" ht="38" customHeight="1">
      <c r="A14" s="24" t="inlineStr">
        <is>
          <t>実行と報告</t>
        </is>
      </c>
      <c r="B14" s="25" t="inlineStr">
        <is>
          <t>—</t>
        </is>
      </c>
      <c r="C14" s="25" t="inlineStr">
        <is>
          <t>エージェント 1.17.0 以上</t>
        </is>
      </c>
      <c r="D14" s="25" t="inlineStr">
        <is>
          <t>結果はエージェントが ECS へ報告する。docker run の HEALTHCHECK に対応。</t>
        </is>
      </c>
      <c r="E14" s="25" t="inlineStr">
        <is>
          <t>その場にいる先生が、職員室へ連絡する。</t>
        </is>
      </c>
      <c r="F14" s="25" t="inlineStr">
        <is>
          <t>Fargate は Linux / Windows ともプラットフォーム 1.1.0 以上。</t>
        </is>
      </c>
      <c r="G14" s="25" t="inlineStr">
        <is>
          <t>中</t>
        </is>
      </c>
    </row>
    <row r="15" ht="38" customHeight="1">
      <c r="A15" s="22" t="inlineStr">
        <is>
          <t>エージェント切断</t>
        </is>
      </c>
      <c r="B15" s="23" t="inlineStr">
        <is>
          <t>最後の状態を維持</t>
        </is>
      </c>
      <c r="C15" s="23" t="inlineStr">
        <is>
          <t>—</t>
        </is>
      </c>
      <c r="D15" s="23" t="inlineStr">
        <is>
          <t>切断しても UNHEALTHY へしない。再接続後の次の検査まで、直前の値。</t>
        </is>
      </c>
      <c r="E15" s="23" t="inlineStr">
        <is>
          <t>連絡係が席を外しても、生徒を病人にはしない。</t>
        </is>
      </c>
      <c r="F15" s="23" t="inlineStr">
        <is>
          <t>2026-08-24 の AGENT_CONNECTIVITY は別レイヤ。アプリ検査の状態は変えない。</t>
        </is>
      </c>
      <c r="G15" s="23" t="inlineStr">
        <is>
          <t>高</t>
        </is>
      </c>
    </row>
    <row r="16" ht="38" customHeight="1">
      <c r="A16" s="22" t="inlineStr">
        <is>
          <t>コンテナの状態</t>
        </is>
      </c>
      <c r="B16" s="23" t="inlineStr">
        <is>
          <t>検査が無ければ UNKNOWN になり得る</t>
        </is>
      </c>
      <c r="C16" s="23" t="inlineStr">
        <is>
          <t>HEALTHY / UNHEALTHY / UNKNOWN</t>
        </is>
      </c>
      <c r="D16" s="23" t="inlineStr">
        <is>
          <t>UNKNOWN は評価中、定義無し、または ECS が状態を持っていない。</t>
        </is>
      </c>
      <c r="E16" s="23" t="inlineStr">
        <is>
          <t>まだ測っていない、は、病人ではない。</t>
        </is>
      </c>
      <c r="F16" s="23" t="inlineStr">
        <is>
          <t>UNKNOWN だけでは交換理由にならない。</t>
        </is>
      </c>
      <c r="G16" s="23" t="inlineStr">
        <is>
          <t>高</t>
        </is>
      </c>
    </row>
    <row r="17" ht="53" customHeight="1">
      <c r="A17" s="22" t="inlineStr">
        <is>
          <t>タスク健康への参加</t>
        </is>
      </c>
      <c r="B17" s="23" t="inlineStr">
        <is>
          <t>必須かつ検査付きだけ</t>
        </is>
      </c>
      <c r="C17" s="23" t="inlineStr">
        <is>
          <t>—</t>
        </is>
      </c>
      <c r="D17" s="23" t="inlineStr">
        <is>
          <t>1. 一つでも UNHEALTHY ならタスク UNHEALTHY。2. そうでなく UNKNOWN が一つでもあれば UNKNOWN。3. 全部 HEALTHY なら HEALTHY。</t>
        </is>
      </c>
      <c r="E17" s="23" t="inlineStr">
        <is>
          <t>必須の先生だけが、学級の判定に入る。</t>
        </is>
      </c>
      <c r="F17" s="23" t="inlineStr">
        <is>
          <t>非必須が UNHEALTHY でもタスクは UNHEALTHY にならない。必須でも検査が無ければ、この集計に入らない。</t>
        </is>
      </c>
      <c r="G17" s="23" t="inlineStr">
        <is>
          <t>高</t>
        </is>
      </c>
    </row>
    <row r="18" ht="38" customHeight="1">
      <c r="A18" s="22" t="inlineStr">
        <is>
          <t>サービスの外</t>
        </is>
      </c>
      <c r="B18" s="23" t="inlineStr">
        <is>
          <t>RunTask は交換しない</t>
        </is>
      </c>
      <c r="C18" s="23" t="inlineStr">
        <is>
          <t>—</t>
        </is>
      </c>
      <c r="D18" s="23" t="inlineStr">
        <is>
          <t>単独タスクは UNHEALTHY でもライフサイクルを続ける。</t>
        </is>
      </c>
      <c r="E18" s="23" t="inlineStr">
        <is>
          <t>職員室に所属していない子は、交代枠が無い。</t>
        </is>
      </c>
      <c r="F18" s="23" t="inlineStr">
        <is>
          <t>交換が欲しいならサービスに置く。</t>
        </is>
      </c>
      <c r="G18" s="23" t="inlineStr">
        <is>
          <t>高</t>
        </is>
      </c>
    </row>
    <row r="19" ht="38" customHeight="1">
      <c r="A19" s="24" t="inlineStr">
        <is>
          <t>Classic LB</t>
        </is>
      </c>
      <c r="B19" s="25" t="inlineStr">
        <is>
          <t>非対応</t>
        </is>
      </c>
      <c r="C19" s="25" t="inlineStr">
        <is>
          <t>—</t>
        </is>
      </c>
      <c r="D19" s="25" t="inlineStr">
        <is>
          <t>Classic Load Balancer を使うサービスではコンテナヘルスチェックを使えない。</t>
        </is>
      </c>
      <c r="E19" s="25" t="inlineStr">
        <is>
          <t>古い校門には、この聴診器を接続しない。</t>
        </is>
      </c>
      <c r="F19" s="25" t="inlineStr">
        <is>
          <t>ALB または NLB へ移すか、コンテナ検査を外す。</t>
        </is>
      </c>
      <c r="G19" s="25" t="inlineStr">
        <is>
          <t>中</t>
        </is>
      </c>
    </row>
    <row r="20" ht="38" customHeight="1">
      <c r="A20" s="24" t="inlineStr">
        <is>
          <t>dependsOn HEALTHY</t>
        </is>
      </c>
      <c r="B20" s="25" t="inlineStr">
        <is>
          <t>—</t>
        </is>
      </c>
      <c r="C20" s="25" t="inlineStr">
        <is>
          <t>START / COMPLETE / SUCCESS / HEALTHY</t>
        </is>
      </c>
      <c r="D20" s="25" t="inlineStr">
        <is>
          <t>依存先の検査が成功するまで、依存するコンテナを起動しない。</t>
        </is>
      </c>
      <c r="E20" s="25" t="inlineStr">
        <is>
          <t>先に準備ができてから、次の人を呼ぶ。</t>
        </is>
      </c>
      <c r="F20" s="25" t="inlineStr">
        <is>
          <t>依存先に healthCheck が無いと HEALTHY 条件は満たせない。</t>
        </is>
      </c>
      <c r="G20" s="25" t="inlineStr">
        <is>
          <t>中</t>
        </is>
      </c>
    </row>
    <row r="21" ht="23" customHeight="1">
      <c r="A21" s="24" t="inlineStr">
        <is>
          <t>再起動ポリシー</t>
        </is>
      </c>
      <c r="B21" s="25" t="inlineStr">
        <is>
          <t>プロセス終了向け</t>
        </is>
      </c>
      <c r="C21" s="25" t="inlineStr">
        <is>
          <t>2024年に追加</t>
        </is>
      </c>
      <c r="D21" s="25" t="inlineStr">
        <is>
          <t>終了したコンテナを、同じタスクの中で再起動できる。</t>
        </is>
      </c>
      <c r="E21" s="25" t="inlineStr">
        <is>
          <t>倒れた人を、箱を捨てる前に起こす試み。</t>
        </is>
      </c>
      <c r="F21" s="25" t="inlineStr">
        <is>
          <t>検査が付けた UNHEALTHY を取り消す機能ではない。</t>
        </is>
      </c>
      <c r="G21" s="25" t="inlineStr">
        <is>
          <t>中</t>
        </is>
      </c>
    </row>
    <row r="22" ht="38" customHeight="1">
      <c r="A22" s="24" t="inlineStr">
        <is>
          <t>メトリクス</t>
        </is>
      </c>
      <c r="B22" s="25" t="inlineStr">
        <is>
          <t>2026-01-30</t>
        </is>
      </c>
      <c r="C22" s="25" t="inlineStr">
        <is>
          <t>0 または 1</t>
        </is>
      </c>
      <c r="D22" s="25" t="inlineStr">
        <is>
          <t>UnHealthyContainerHealthStatus。HEALTHY が 0、UNHEALTHY が 1。次元はクラスタ、サービス、タスク、コンテナ。</t>
        </is>
      </c>
      <c r="E22" s="25" t="inlineStr">
        <is>
          <t>保健室の結果を、校内放送の数値でも見る。</t>
        </is>
      </c>
      <c r="F22" s="25" t="inlineStr">
        <is>
          <t>拡張オブザーバビリティと、タスク定義の検査が両方必要。ブレーカーが開くこととは別。</t>
        </is>
      </c>
      <c r="G22" s="25" t="inlineStr">
        <is>
          <t>中</t>
        </is>
      </c>
    </row>
  </sheetData>
  <autoFilter ref="A4:G22"/>
  <mergeCells count="2">
    <mergeCell ref="A2:G2"/>
    <mergeCell ref="A1:G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05_コンテナHC</oddHeader>
    <oddFooter>&amp;L&amp;"Meiryo UI"&amp;8 調査基準日 2026-10-02  公式ドキュメントに基づく解説  モノトーン / Meiryo UI&amp;R&amp;"Meiryo UI"&amp;8 &amp;P / &amp;N</oddFooter>
    <evenHeader/>
    <evenFooter/>
    <firstHeader/>
    <firstFooter/>
  </headerFooter>
</worksheet>
</file>

<file path=xl/worksheets/sheet7.xml><?xml version="1.0" encoding="utf-8"?>
<worksheet xmlns="http://schemas.openxmlformats.org/spreadsheetml/2006/main">
  <sheetPr>
    <tabColor rgb="004A4A4A"/>
    <outlinePr summaryBelow="1" summaryRight="1"/>
    <pageSetUpPr fitToPage="1"/>
  </sheetPr>
  <dimension ref="A1:F22"/>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32" customWidth="1" min="1" max="1"/>
    <col width="28" customWidth="1" min="2" max="2"/>
    <col width="42" customWidth="1" min="3" max="3"/>
    <col width="55" customWidth="1" min="4" max="4"/>
    <col width="48" customWidth="1" min="5" max="5"/>
    <col width="12" customWidth="1" min="6" max="6"/>
  </cols>
  <sheetData>
    <row r="1" ht="32" customHeight="1">
      <c r="A1" s="17" t="inlineStr">
        <is>
          <t>ALB と NLB のヘルスチェック</t>
        </is>
      </c>
      <c r="B1" s="18" t="n"/>
      <c r="C1" s="18" t="n"/>
      <c r="D1" s="18" t="n"/>
      <c r="E1" s="18" t="n"/>
      <c r="F1" s="18" t="n"/>
    </row>
    <row r="2" ht="34" customHeight="1">
      <c r="A2" s="19" t="inlineStr">
        <is>
          <t>新しいターゲットは成功1回で healthy。5回なのは、いったん unhealthy になってから戻るときです。</t>
        </is>
      </c>
      <c r="B2" s="18" t="n"/>
      <c r="C2" s="18" t="n"/>
      <c r="D2" s="18" t="n"/>
      <c r="E2" s="18" t="n"/>
      <c r="F2" s="18" t="n"/>
    </row>
    <row r="3" ht="8" customHeight="1">
      <c r="A3" s="18" t="n"/>
      <c r="B3" s="18" t="n"/>
      <c r="C3" s="18" t="n"/>
      <c r="D3" s="18" t="n"/>
      <c r="E3" s="18" t="n"/>
      <c r="F3" s="18" t="n"/>
    </row>
    <row r="4" ht="32" customHeight="1">
      <c r="A4" s="9" t="inlineStr">
        <is>
          <t>項目</t>
        </is>
      </c>
      <c r="B4" s="9" t="inlineStr">
        <is>
          <t>ALB の既定</t>
        </is>
      </c>
      <c r="C4" s="9" t="inlineStr">
        <is>
          <t>範囲</t>
        </is>
      </c>
      <c r="D4" s="9" t="inlineStr">
        <is>
          <t>動作上の意味</t>
        </is>
      </c>
      <c r="E4" s="9" t="inlineStr">
        <is>
          <t>NLB との差</t>
        </is>
      </c>
      <c r="F4" s="9" t="inlineStr">
        <is>
          <t>重要度</t>
        </is>
      </c>
    </row>
    <row r="5" ht="38" customHeight="1">
      <c r="A5" s="22" t="inlineStr">
        <is>
          <t>HealthCheckProtocol</t>
        </is>
      </c>
      <c r="B5" s="23" t="inlineStr">
        <is>
          <t>HTTP</t>
        </is>
      </c>
      <c r="C5" s="23" t="inlineStr">
        <is>
          <t>ALB は HTTP または HTTPS。メソッドは GET</t>
        </is>
      </c>
      <c r="D5" s="23" t="inlineStr">
        <is>
          <t>外から検査するプロトコル。コンテナ内のコマンドとは独立。</t>
        </is>
      </c>
      <c r="E5" s="23" t="inlineStr">
        <is>
          <t>NLB は TCP、HTTP、HTTPS など。TCP は応答コードを見ない。</t>
        </is>
      </c>
      <c r="F5" s="23" t="inlineStr">
        <is>
          <t>高</t>
        </is>
      </c>
    </row>
    <row r="6" ht="38" customHeight="1">
      <c r="A6" s="22" t="inlineStr">
        <is>
          <t>HealthCheckPort</t>
        </is>
      </c>
      <c r="B6" s="23" t="inlineStr">
        <is>
          <t>トラフィックポート</t>
        </is>
      </c>
      <c r="C6" s="23" t="inlineStr">
        <is>
          <t>別ポートを指定できる</t>
        </is>
      </c>
      <c r="D6" s="23" t="inlineStr">
        <is>
          <t>アプリポートと検査ポートを分けられる。タスク定義の port mapping とセキュリティグループの両方に通す。</t>
        </is>
      </c>
      <c r="E6" s="23" t="inlineStr">
        <is>
          <t>到達できなければ Timeout。コンテナ検査は localhost なので成功し得る。</t>
        </is>
      </c>
      <c r="F6" s="23" t="inlineStr">
        <is>
          <t>高</t>
        </is>
      </c>
    </row>
    <row r="7" ht="38" customHeight="1">
      <c r="A7" s="22" t="inlineStr">
        <is>
          <t>HealthCheckPath</t>
        </is>
      </c>
      <c r="B7" s="23" t="inlineStr">
        <is>
          <t>HTTP では /</t>
        </is>
      </c>
      <c r="C7" s="23" t="inlineStr">
        <is>
          <t>URI。クエリ可。gRPC の形式は /package.service/method</t>
        </is>
      </c>
      <c r="D7" s="23" t="inlineStr">
        <is>
          <t>gRPC の既定パスは /AWS.ALB/healthcheck。</t>
        </is>
      </c>
      <c r="E7" s="23" t="inlineStr">
        <is>
          <t>NLB の HTTP パス既定も /。</t>
        </is>
      </c>
      <c r="F7" s="23" t="inlineStr">
        <is>
          <t>高</t>
        </is>
      </c>
    </row>
    <row r="8" ht="38" customHeight="1">
      <c r="A8" s="22" t="inlineStr">
        <is>
          <t>Matcher（成功コード）</t>
        </is>
      </c>
      <c r="B8" s="23" t="inlineStr">
        <is>
          <t>HTTP は 200</t>
        </is>
      </c>
      <c r="C8" s="23" t="inlineStr">
        <is>
          <t>HTTP は 200〜499。列挙と範囲。gRPC は 0〜99、既定 12</t>
        </is>
      </c>
      <c r="D8" s="23" t="inlineStr">
        <is>
          <t>301 や 401 は既定では失敗。理由は Target.ResponseCodeMismatch。</t>
        </is>
      </c>
      <c r="E8" s="23" t="inlineStr">
        <is>
          <t>NLB の HTTP Matcher 既定は 200-399。ALB より広い。</t>
        </is>
      </c>
      <c r="F8" s="23" t="inlineStr">
        <is>
          <t>高</t>
        </is>
      </c>
    </row>
    <row r="9" ht="38" customHeight="1">
      <c r="A9" s="22" t="inlineStr">
        <is>
          <t>HealthCheckIntervalSeconds</t>
        </is>
      </c>
      <c r="B9" s="23" t="inlineStr">
        <is>
          <t>instance / ip は 30 秒</t>
        </is>
      </c>
      <c r="C9" s="23" t="inlineStr">
        <is>
          <t>5〜300 秒。timeout より長くする</t>
        </is>
      </c>
      <c r="D9" s="23" t="inlineStr">
        <is>
          <t>個々のターゲットに対するおよその間隔。応答時間で次の間隔は伸びない。結果はその間隔のあいだ有効。</t>
        </is>
      </c>
      <c r="E9" s="23" t="inlineStr">
        <is>
          <t>NLB も既定 30、範囲 5〜300。ただし分散合意のため、設定間隔より多く検査が届く。</t>
        </is>
      </c>
      <c r="F9" s="23" t="inlineStr">
        <is>
          <t>高</t>
        </is>
      </c>
    </row>
    <row r="10" ht="38" customHeight="1">
      <c r="A10" s="22" t="inlineStr">
        <is>
          <t>HealthCheckTimeoutSeconds</t>
        </is>
      </c>
      <c r="B10" s="23" t="inlineStr">
        <is>
          <t>instance / ip は 5 秒</t>
        </is>
      </c>
      <c r="C10" s="23" t="inlineStr">
        <is>
          <t>2〜120 秒</t>
        </is>
      </c>
      <c r="D10" s="23" t="inlineStr">
        <is>
          <t>この秒数応答が無ければその回は失敗。理由は Target.Timeout。</t>
        </is>
      </c>
      <c r="E10" s="23" t="inlineStr">
        <is>
          <t>NLB の既定は HTTP 6 秒、TCP と HTTPS は 10 秒。</t>
        </is>
      </c>
      <c r="F10" s="23" t="inlineStr">
        <is>
          <t>高</t>
        </is>
      </c>
    </row>
    <row r="11" ht="38" customHeight="1">
      <c r="A11" s="22" t="inlineStr">
        <is>
          <t>HealthyThresholdCount</t>
        </is>
      </c>
      <c r="B11" s="23" t="inlineStr">
        <is>
          <t>5</t>
        </is>
      </c>
      <c r="C11" s="23" t="inlineStr">
        <is>
          <t>2〜10</t>
        </is>
      </c>
      <c r="D11" s="23" t="inlineStr">
        <is>
          <t>unhealthy から healthy へ戻るときの連続成功回数。既定なら約 30×5=150 秒。</t>
        </is>
      </c>
      <c r="E11" s="23" t="inlineStr">
        <is>
          <t>新規登録には適用されない。ここが最大の勘違い。</t>
        </is>
      </c>
      <c r="F11" s="23" t="inlineStr">
        <is>
          <t>高</t>
        </is>
      </c>
    </row>
    <row r="12" ht="38" customHeight="1">
      <c r="A12" s="22" t="inlineStr">
        <is>
          <t>新規登録の初回</t>
        </is>
      </c>
      <c r="B12" s="23" t="inlineStr">
        <is>
          <t>成功 1 回</t>
        </is>
      </c>
      <c r="C12" s="23" t="inlineStr">
        <is>
          <t>HealthyThresholdCount を無視</t>
        </is>
      </c>
      <c r="D12" s="23" t="inlineStr">
        <is>
          <t>登録後、1 回成功すれば healthy。デプロイの「新しいタスクが受付を通る」時間は、およそ 1 間隔。</t>
        </is>
      </c>
      <c r="E12" s="23" t="inlineStr">
        <is>
          <t>公式の Optimize load balancer health check parameters に明記。</t>
        </is>
      </c>
      <c r="F12" s="23" t="inlineStr">
        <is>
          <t>高</t>
        </is>
      </c>
    </row>
    <row r="13" ht="38" customHeight="1">
      <c r="A13" s="22" t="inlineStr">
        <is>
          <t>UnhealthyThresholdCount</t>
        </is>
      </c>
      <c r="B13" s="23" t="inlineStr">
        <is>
          <t>2</t>
        </is>
      </c>
      <c r="C13" s="23" t="inlineStr">
        <is>
          <t>2〜10</t>
        </is>
      </c>
      <c r="D13" s="23" t="inlineStr">
        <is>
          <t>healthy から unhealthy への連続失敗回数。既定ならおよそ 60 秒。</t>
        </is>
      </c>
      <c r="E13" s="23" t="inlineStr">
        <is>
          <t>NLB も既定 2、範囲 2〜10。</t>
        </is>
      </c>
      <c r="F13" s="23" t="inlineStr">
        <is>
          <t>高</t>
        </is>
      </c>
    </row>
    <row r="14" ht="38" customHeight="1">
      <c r="A14" s="22" t="inlineStr">
        <is>
          <t>ターゲット状態 initial</t>
        </is>
      </c>
      <c r="B14" s="23" t="inlineStr">
        <is>
          <t>登録直後</t>
        </is>
      </c>
      <c r="C14" s="23" t="inlineStr">
        <is>
          <t>Elb.RegistrationInProgress / Elb.InitialHealthChecking</t>
        </is>
      </c>
      <c r="D14" s="23" t="inlineStr">
        <is>
          <t>まだ健全カウントへ入れない。</t>
        </is>
      </c>
      <c r="E14" s="23" t="inlineStr">
        <is>
          <t>ECS の ACTIVATING で登録が走る。</t>
        </is>
      </c>
      <c r="F14" s="23" t="inlineStr">
        <is>
          <t>高</t>
        </is>
      </c>
    </row>
    <row r="15" ht="38" customHeight="1">
      <c r="A15" s="24" t="inlineStr">
        <is>
          <t>healthy</t>
        </is>
      </c>
      <c r="B15" s="25" t="inlineStr">
        <is>
          <t>検査成功</t>
        </is>
      </c>
      <c r="C15" s="25" t="inlineStr">
        <is>
          <t>理由コードなし</t>
        </is>
      </c>
      <c r="D15" s="25" t="inlineStr">
        <is>
          <t>新規通信の対象になる。スロースタートが有効なら、流量は秒数をかけて増える。健康判定の時刻は変わらない。</t>
        </is>
      </c>
      <c r="E15" s="25" t="inlineStr">
        <is>
          <t>slow_start.duration_seconds は 0 が無効。有効時 30〜900 秒。</t>
        </is>
      </c>
      <c r="F15" s="25" t="inlineStr">
        <is>
          <t>中</t>
        </is>
      </c>
    </row>
    <row r="16" ht="38" customHeight="1">
      <c r="A16" s="22" t="inlineStr">
        <is>
          <t>unhealthy</t>
        </is>
      </c>
      <c r="B16" s="23" t="inlineStr">
        <is>
          <t>検査失敗</t>
        </is>
      </c>
      <c r="C16" s="23" t="inlineStr">
        <is>
          <t>ResponseCodeMismatch、Timeout、FailedHealthChecks、Elb.InternalError</t>
        </is>
      </c>
      <c r="D16" s="23" t="inlineStr">
        <is>
          <t>他に healthy がいれば新規通信は来ない。ECS は猶予の外で交換理由にする。</t>
        </is>
      </c>
      <c r="E16" s="23" t="inlineStr">
        <is>
          <t>サービスイベントに target-group と reason が出る。</t>
        </is>
      </c>
      <c r="F16" s="23" t="inlineStr">
        <is>
          <t>高</t>
        </is>
      </c>
    </row>
    <row r="17" ht="38" customHeight="1">
      <c r="A17" s="22" t="inlineStr">
        <is>
          <t>draining</t>
        </is>
      </c>
      <c r="B17" s="23" t="inlineStr">
        <is>
          <t>登録解除中</t>
        </is>
      </c>
      <c r="C17" s="23" t="inlineStr">
        <is>
          <t>Target.DeregistrationInProgress</t>
        </is>
      </c>
      <c r="D17" s="23" t="inlineStr">
        <is>
          <t>既存接続の排出。HealthyHostCount は減るが UnhealthyHostCount は増えない。</t>
        </is>
      </c>
      <c r="E17" s="23" t="inlineStr">
        <is>
          <t>deregistration_delay.timeout_seconds。既定 300、範囲 0〜3600。</t>
        </is>
      </c>
      <c r="F17" s="23" t="inlineStr">
        <is>
          <t>高</t>
        </is>
      </c>
    </row>
    <row r="18" ht="38" customHeight="1">
      <c r="A18" s="24" t="inlineStr">
        <is>
          <t>unused / unavailable</t>
        </is>
      </c>
      <c r="B18" s="25" t="inlineStr">
        <is>
          <t>使われていない、または検査無効</t>
        </is>
      </c>
      <c r="C18" s="25" t="inlineStr">
        <is>
          <t>NotInUse、InvalidState、HealthCheckDisabled など</t>
        </is>
      </c>
      <c r="D18" s="25" t="inlineStr">
        <is>
          <t>AZ が無効、リスナー未使用、タスク停止でも unused になる。</t>
        </is>
      </c>
      <c r="E18" s="25" t="inlineStr">
        <is>
          <t>検査が無効だと、受付は健康を見ていない。</t>
        </is>
      </c>
      <c r="F18" s="25" t="inlineStr">
        <is>
          <t>中</t>
        </is>
      </c>
    </row>
    <row r="19" ht="38" customHeight="1">
      <c r="A19" s="22" t="inlineStr">
        <is>
          <t>フェイルオープン</t>
        </is>
      </c>
      <c r="B19" s="23" t="inlineStr">
        <is>
          <t>healthy が 0 のとき</t>
        </is>
      </c>
      <c r="C19" s="23" t="inlineStr">
        <is>
          <t>有効な全 AZ で登録ターゲットが全員 unhealthy</t>
        </is>
      </c>
      <c r="D19" s="23" t="inlineStr">
        <is>
          <t>ALB は状態を無視して全員へ送る。unhealthy が通信ゼロ、とは限らない。</t>
        </is>
      </c>
      <c r="E19" s="23" t="inlineStr">
        <is>
          <t>属性 minimum_healthy_targets.count の既定は 1。healthy が下回ると全員へ送る。</t>
        </is>
      </c>
      <c r="F19" s="23" t="inlineStr">
        <is>
          <t>高</t>
        </is>
      </c>
    </row>
    <row r="20" ht="23" customHeight="1">
      <c r="A20" s="26" t="inlineStr">
        <is>
          <t>WebSocket</t>
        </is>
      </c>
      <c r="B20" s="27" t="inlineStr">
        <is>
          <t>非対応</t>
        </is>
      </c>
      <c r="C20" s="27" t="inlineStr">
        <is>
          <t>—</t>
        </is>
      </c>
      <c r="D20" s="27" t="inlineStr">
        <is>
          <t>ヘルスチェックは WebSocket を使えない。</t>
        </is>
      </c>
      <c r="E20" s="27" t="inlineStr">
        <is>
          <t>検査は通常の HTTP GET。</t>
        </is>
      </c>
      <c r="F20" s="27" t="inlineStr">
        <is>
          <t>基礎</t>
        </is>
      </c>
    </row>
    <row r="21" ht="38" customHeight="1">
      <c r="A21" s="22" t="inlineStr">
        <is>
          <t>セキュリティグループ</t>
        </is>
      </c>
      <c r="B21" s="23" t="inlineStr">
        <is>
          <t>ドキュメント上の必須設定ではないが、到達の前提</t>
        </is>
      </c>
      <c r="C21" s="23" t="inlineStr">
        <is>
          <t>ALB の SG からタスクポートへ許可</t>
        </is>
      </c>
      <c r="D21" s="23" t="inlineStr">
        <is>
          <t>閉じているとコンテナ検査だけ成功し、ALB は Timeout。</t>
        </is>
      </c>
      <c r="E21" s="23" t="inlineStr">
        <is>
          <t>127.0.0.1 だけに bind したアプリも同じ見え方になる。</t>
        </is>
      </c>
      <c r="F21" s="23" t="inlineStr">
        <is>
          <t>高</t>
        </is>
      </c>
    </row>
    <row r="22" ht="23" customHeight="1">
      <c r="A22" s="24" t="inlineStr">
        <is>
          <t>ECS からの見え方</t>
        </is>
      </c>
      <c r="B22" s="25" t="inlineStr">
        <is>
          <t>最大 5 ターゲットグループ</t>
        </is>
      </c>
      <c r="C22" s="25" t="inlineStr">
        <is>
          <t>loadBalancers に ARN、コンテナ名、ポート</t>
        </is>
      </c>
      <c r="D22" s="25" t="inlineStr">
        <is>
          <t>この設定を変えると新しいデプロイが始まる。</t>
        </is>
      </c>
      <c r="E22" s="25" t="inlineStr">
        <is>
          <t>awsvpc ではサービスリンクロールが登録する。</t>
        </is>
      </c>
      <c r="F22" s="25" t="inlineStr">
        <is>
          <t>中</t>
        </is>
      </c>
    </row>
  </sheetData>
  <autoFilter ref="A4:F22"/>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06_ALBとNLB</oddHeader>
    <oddFooter>&amp;L&amp;"Meiryo UI"&amp;8 調査基準日 2026-10-02  公式ドキュメントに基づく解説  モノトーン / Meiryo UI&amp;R&amp;"Meiryo UI"&amp;8 &amp;P / &amp;N</oddFooter>
    <evenHeader/>
    <evenFooter/>
    <firstHeader/>
    <firstFooter/>
  </headerFooter>
</worksheet>
</file>

<file path=xl/worksheets/sheet8.xml><?xml version="1.0" encoding="utf-8"?>
<worksheet xmlns="http://schemas.openxmlformats.org/spreadsheetml/2006/main">
  <sheetPr>
    <tabColor rgb="004A4A4A"/>
    <outlinePr summaryBelow="1" summaryRight="1"/>
    <pageSetUpPr fitToPage="1"/>
  </sheetPr>
  <dimension ref="A1:G28"/>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42" customWidth="1" min="1" max="1"/>
    <col width="28" customWidth="1" min="2" max="2"/>
    <col width="36" customWidth="1" min="3" max="3"/>
    <col width="48" customWidth="1" min="4" max="4"/>
    <col width="62" customWidth="1" min="5" max="5"/>
    <col width="24" customWidth="1" min="6" max="6"/>
    <col width="12" customWidth="1" min="7" max="7"/>
  </cols>
  <sheetData>
    <row r="1" ht="32" customHeight="1">
      <c r="A1" s="17" t="inlineStr">
        <is>
          <t>ECS サービスに書くもの</t>
        </is>
      </c>
      <c r="B1" s="18" t="n"/>
      <c r="C1" s="18" t="n"/>
      <c r="D1" s="18" t="n"/>
      <c r="E1" s="18" t="n"/>
      <c r="F1" s="18" t="n"/>
      <c r="G1" s="18" t="n"/>
    </row>
    <row r="2" ht="34" customHeight="1">
      <c r="A2" s="19" t="inlineStr">
        <is>
          <t>猶予を直しても、それだけではタスクは入れ替わりません。タスク定義やロードバランサー設定を変えると、新しいデプロイが始まります。</t>
        </is>
      </c>
      <c r="B2" s="18" t="n"/>
      <c r="C2" s="18" t="n"/>
      <c r="D2" s="18" t="n"/>
      <c r="E2" s="18" t="n"/>
      <c r="F2" s="18" t="n"/>
      <c r="G2" s="18" t="n"/>
    </row>
    <row r="3" ht="8" customHeight="1">
      <c r="A3" s="18" t="n"/>
      <c r="B3" s="18" t="n"/>
      <c r="C3" s="18" t="n"/>
      <c r="D3" s="18" t="n"/>
      <c r="E3" s="18" t="n"/>
      <c r="F3" s="18" t="n"/>
      <c r="G3" s="18" t="n"/>
    </row>
    <row r="4" ht="32" customHeight="1">
      <c r="A4" s="9" t="inlineStr">
        <is>
          <t>設定</t>
        </is>
      </c>
      <c r="B4" s="9" t="inlineStr">
        <is>
          <t>書く場所</t>
        </is>
      </c>
      <c r="C4" s="9" t="inlineStr">
        <is>
          <t>既定</t>
        </is>
      </c>
      <c r="D4" s="9" t="inlineStr">
        <is>
          <t>範囲または値</t>
        </is>
      </c>
      <c r="E4" s="9" t="inlineStr">
        <is>
          <t>動作</t>
        </is>
      </c>
      <c r="F4" s="9" t="inlineStr">
        <is>
          <t>デプロイを新規開始するか</t>
        </is>
      </c>
      <c r="G4" s="9" t="inlineStr">
        <is>
          <t>重要度</t>
        </is>
      </c>
    </row>
    <row r="5" ht="38" customHeight="1">
      <c r="A5" s="22" t="inlineStr">
        <is>
          <t>desiredCount</t>
        </is>
      </c>
      <c r="B5" s="23" t="inlineStr">
        <is>
          <t>サービス</t>
        </is>
      </c>
      <c r="C5" s="23" t="inlineStr">
        <is>
          <t>作成時に指定</t>
        </is>
      </c>
      <c r="D5" s="23" t="inlineStr">
        <is>
          <t>REPLICA では維持したい台数</t>
        </is>
      </c>
      <c r="E5" s="23" t="inlineStr">
        <is>
          <t>サーキットブレーカーの百分率は、デプロイ中の最新 desired で計算し直す。</t>
        </is>
      </c>
      <c r="F5" s="23" t="inlineStr">
        <is>
          <t>しない</t>
        </is>
      </c>
      <c r="G5" s="23" t="inlineStr">
        <is>
          <t>高</t>
        </is>
      </c>
    </row>
    <row r="6" ht="38" customHeight="1">
      <c r="A6" s="24" t="inlineStr">
        <is>
          <t>schedulingStrategy</t>
        </is>
      </c>
      <c r="B6" s="25" t="inlineStr">
        <is>
          <t>サービス</t>
        </is>
      </c>
      <c r="C6" s="25" t="inlineStr">
        <is>
          <t>REPLICA</t>
        </is>
      </c>
      <c r="D6" s="25" t="inlineStr">
        <is>
          <t>REPLICA または DAEMON</t>
        </is>
      </c>
      <c r="E6" s="25" t="inlineStr">
        <is>
          <t>DAEMON は条件を満たすインスタンスに1タスク。Fargate では DAEMON 不可。</t>
        </is>
      </c>
      <c r="F6" s="25" t="inlineStr">
        <is>
          <t>—</t>
        </is>
      </c>
      <c r="G6" s="25" t="inlineStr">
        <is>
          <t>中</t>
        </is>
      </c>
    </row>
    <row r="7" ht="38" customHeight="1">
      <c r="A7" s="22" t="inlineStr">
        <is>
          <t>maximumPercent</t>
        </is>
      </c>
      <c r="B7" s="23" t="inlineStr">
        <is>
          <t>deploymentConfiguration</t>
        </is>
      </c>
      <c r="C7" s="23" t="inlineStr">
        <is>
          <t>REPLICA 200、DAEMON 100</t>
        </is>
      </c>
      <c r="D7" s="23" t="inlineStr">
        <is>
          <t>台数は floor(desired × 百分率 / 100)。状態は RUNNING、STOPPING、PENDING</t>
        </is>
      </c>
      <c r="E7" s="23" t="inlineStr">
        <is>
          <t>デプロイと、不健康タスクの先置き換えの枠。</t>
        </is>
      </c>
      <c r="F7" s="23" t="inlineStr">
        <is>
          <t>この項目だけでは開始しない</t>
        </is>
      </c>
      <c r="G7" s="23" t="inlineStr">
        <is>
          <t>高</t>
        </is>
      </c>
    </row>
    <row r="8" ht="38" customHeight="1">
      <c r="A8" s="22" t="inlineStr">
        <is>
          <t>minimumHealthyPercent</t>
        </is>
      </c>
      <c r="B8" s="23" t="inlineStr">
        <is>
          <t>deploymentConfiguration</t>
        </is>
      </c>
      <c r="C8" s="23" t="inlineStr">
        <is>
          <t>REPLICA 100。DAEMON は API が 0、コンソールが 50</t>
        </is>
      </c>
      <c r="D8" s="23" t="inlineStr">
        <is>
          <t>台数は ceil(desired × 百分率 / 100)。対象は RUNNING</t>
        </is>
      </c>
      <c r="E8" s="23" t="inlineStr">
        <is>
          <t>デプロイ中に残す下限。枠が無いときの停止数を制約する。</t>
        </is>
      </c>
      <c r="F8" s="23" t="inlineStr">
        <is>
          <t>この項目だけでは開始しない</t>
        </is>
      </c>
      <c r="G8" s="23" t="inlineStr">
        <is>
          <t>高</t>
        </is>
      </c>
    </row>
    <row r="9" ht="53" customHeight="1">
      <c r="A9" s="22" t="inlineStr">
        <is>
          <t>healthCheckGracePeriodSeconds</t>
        </is>
      </c>
      <c r="B9" s="23" t="inlineStr">
        <is>
          <t>サービス</t>
        </is>
      </c>
      <c r="C9" s="23" t="inlineStr">
        <is>
          <t>0</t>
        </is>
      </c>
      <c r="D9" s="23" t="inlineStr">
        <is>
          <t>0〜2,147,483,647 秒（約68年）</t>
        </is>
      </c>
      <c r="E9" s="23" t="inlineStr">
        <is>
          <t>起動後、ELB、VPC Lattice、コンテナ検査の不健康をスケジューラが無視する。検査自体は止まらない。実行数が desired 超なら、猶予中でも止め得る。</t>
        </is>
      </c>
      <c r="F9" s="23" t="inlineStr">
        <is>
          <t>しない</t>
        </is>
      </c>
      <c r="G9" s="23" t="inlineStr">
        <is>
          <t>高</t>
        </is>
      </c>
    </row>
    <row r="10" ht="38" customHeight="1">
      <c r="A10" s="22" t="inlineStr">
        <is>
          <t>loadBalancers</t>
        </is>
      </c>
      <c r="B10" s="23" t="inlineStr">
        <is>
          <t>サービス</t>
        </is>
      </c>
      <c r="C10" s="23" t="inlineStr">
        <is>
          <t>なし</t>
        </is>
      </c>
      <c r="D10" s="23" t="inlineStr">
        <is>
          <t>ターゲットグループは最大5</t>
        </is>
      </c>
      <c r="E10" s="23" t="inlineStr">
        <is>
          <t>コンテナ名とコンテナポートで登録する。健全カウントはターゲットの healthy を待つ。</t>
        </is>
      </c>
      <c r="F10" s="23" t="inlineStr">
        <is>
          <t>する</t>
        </is>
      </c>
      <c r="G10" s="23" t="inlineStr">
        <is>
          <t>高</t>
        </is>
      </c>
    </row>
    <row r="11" ht="53" customHeight="1">
      <c r="A11" s="22" t="inlineStr">
        <is>
          <t>deploymentController</t>
        </is>
      </c>
      <c r="B11" s="23" t="inlineStr">
        <is>
          <t>サービス</t>
        </is>
      </c>
      <c r="C11" s="23" t="inlineStr">
        <is>
          <t>ECS</t>
        </is>
      </c>
      <c r="D11" s="23" t="inlineStr">
        <is>
          <t>ECS、CODE_DEPLOY、EXTERNAL</t>
        </is>
      </c>
      <c r="E11" s="23" t="inlineStr">
        <is>
          <t>2025-07 以降、ECS の中にローリング、blue/green、linear、canary がある。CODE_DEPLOY は従来の青緑。</t>
        </is>
      </c>
      <c r="F11" s="23" t="inlineStr">
        <is>
          <t>このタイプ変更だけでは開始しない、とサービス定義の説明</t>
        </is>
      </c>
      <c r="G11" s="23" t="inlineStr">
        <is>
          <t>高</t>
        </is>
      </c>
    </row>
    <row r="12" ht="38" customHeight="1">
      <c r="A12" s="22" t="inlineStr">
        <is>
          <t>deploymentCircuitBreaker.enable</t>
        </is>
      </c>
      <c r="B12" s="23" t="inlineStr">
        <is>
          <t>deploymentConfiguration</t>
        </is>
      </c>
      <c r="C12" s="23" t="inlineStr">
        <is>
          <t>無効が従来の既定動作</t>
        </is>
      </c>
      <c r="D12" s="23" t="inlineStr">
        <is>
          <t>true / false</t>
        </is>
      </c>
      <c r="E12" s="23" t="inlineStr">
        <is>
          <t>true で進行中デプロイの失敗回数を見る。false なら失敗デプロイを終わりなく再試行し得る。</t>
        </is>
      </c>
      <c r="F12" s="23" t="inlineStr">
        <is>
          <t>この項目だけでは開始しない</t>
        </is>
      </c>
      <c r="G12" s="23" t="inlineStr">
        <is>
          <t>高</t>
        </is>
      </c>
    </row>
    <row r="13" ht="38" customHeight="1">
      <c r="A13" s="22" t="inlineStr">
        <is>
          <t>deploymentCircuitBreaker.rollback</t>
        </is>
      </c>
      <c r="B13" s="23" t="inlineStr">
        <is>
          <t>deploymentConfiguration</t>
        </is>
      </c>
      <c r="C13" s="23" t="inlineStr">
        <is>
          <t>enable と別に指定</t>
        </is>
      </c>
      <c r="D13" s="23" t="inlineStr">
        <is>
          <t>true / false</t>
        </is>
      </c>
      <c r="E13" s="23" t="inlineStr">
        <is>
          <t>true でも、COMPLETED のデプロイが無ければ戻らない。戻し先は IN_PROGRESS になり、再完了まで次のロールバック対象にならない。</t>
        </is>
      </c>
      <c r="F13" s="23" t="inlineStr">
        <is>
          <t>この項目だけでは開始しない</t>
        </is>
      </c>
      <c r="G13" s="23" t="inlineStr">
        <is>
          <t>高</t>
        </is>
      </c>
    </row>
    <row r="14" ht="38" customHeight="1">
      <c r="A14" s="22" t="inlineStr">
        <is>
          <t>resetOnHealthyTask</t>
        </is>
      </c>
      <c r="B14" s="23" t="inlineStr">
        <is>
          <t>deploymentCircuitBreaker</t>
        </is>
      </c>
      <c r="C14" s="23" t="inlineStr">
        <is>
          <t>true</t>
        </is>
      </c>
      <c r="D14" s="23" t="inlineStr">
        <is>
          <t>true / false。2026-07-01 追加</t>
        </is>
      </c>
      <c r="E14" s="23" t="inlineStr">
        <is>
          <t>true は健全なタスクで失敗カウントを 0 に戻す。false はデプロイ全体で累積する。</t>
        </is>
      </c>
      <c r="F14" s="23" t="inlineStr">
        <is>
          <t>この項目だけでは開始しない</t>
        </is>
      </c>
      <c r="G14" s="23" t="inlineStr">
        <is>
          <t>高</t>
        </is>
      </c>
    </row>
    <row r="15" ht="38" customHeight="1">
      <c r="A15" s="22" t="inlineStr">
        <is>
          <t>thresholdConfiguration</t>
        </is>
      </c>
      <c r="B15" s="23" t="inlineStr">
        <is>
          <t>deploymentCircuitBreaker</t>
        </is>
      </c>
      <c r="C15" s="23" t="inlineStr">
        <is>
          <t>BOUNDED_PERCENT、value 50</t>
        </is>
      </c>
      <c r="D15" s="23" t="inlineStr">
        <is>
          <t>BOUNDED_PERCENT、UNBOUNDED_PERCENT、COUNT。百分率の value は 1〜100</t>
        </is>
      </c>
      <c r="E15" s="23" t="inlineStr">
        <is>
          <t>失敗を何回数えたら FAILED にするか。14_時間の計算を参照。</t>
        </is>
      </c>
      <c r="F15" s="23" t="inlineStr">
        <is>
          <t>この項目だけでは開始しない</t>
        </is>
      </c>
      <c r="G15" s="23" t="inlineStr">
        <is>
          <t>高</t>
        </is>
      </c>
    </row>
    <row r="16" ht="38" customHeight="1">
      <c r="A16" s="22" t="inlineStr">
        <is>
          <t>CloudWatch alarms</t>
        </is>
      </c>
      <c r="B16" s="23" t="inlineStr">
        <is>
          <t>deploymentConfiguration</t>
        </is>
      </c>
      <c r="C16" s="23" t="inlineStr">
        <is>
          <t>無効</t>
        </is>
      </c>
      <c r="D16" s="23" t="inlineStr">
        <is>
          <t>アラーム名、enable、rollback</t>
        </is>
      </c>
      <c r="E16" s="23" t="inlineStr">
        <is>
          <t>一つでも ALARM ならデプロイ失敗。ブレーカーと併用時は、先に満たした方が開始する。</t>
        </is>
      </c>
      <c r="F16" s="23" t="inlineStr">
        <is>
          <t>この項目だけでは開始しない</t>
        </is>
      </c>
      <c r="G16" s="23" t="inlineStr">
        <is>
          <t>高</t>
        </is>
      </c>
    </row>
    <row r="17" ht="23" customHeight="1">
      <c r="A17" s="24" t="inlineStr">
        <is>
          <t>earlySuccessCriteria.enable</t>
        </is>
      </c>
      <c r="B17" s="25" t="inlineStr">
        <is>
          <t>deploymentConfiguration</t>
        </is>
      </c>
      <c r="C17" s="25" t="inlineStr">
        <is>
          <t>false</t>
        </is>
      </c>
      <c r="D17" s="25" t="inlineStr">
        <is>
          <t>true / false</t>
        </is>
      </c>
      <c r="E17" s="25" t="inlineStr">
        <is>
          <t>新しいリビジョンの一部が健全なら、ローリングを完了できる。</t>
        </is>
      </c>
      <c r="F17" s="25" t="inlineStr">
        <is>
          <t>—</t>
        </is>
      </c>
      <c r="G17" s="25" t="inlineStr">
        <is>
          <t>中</t>
        </is>
      </c>
    </row>
    <row r="18" ht="23" customHeight="1">
      <c r="A18" s="24" t="inlineStr">
        <is>
          <t>earlySuccessCriteria.healthyPercent</t>
        </is>
      </c>
      <c r="B18" s="25" t="inlineStr">
        <is>
          <t>deploymentConfiguration</t>
        </is>
      </c>
      <c r="C18" s="25" t="inlineStr">
        <is>
          <t>100</t>
        </is>
      </c>
      <c r="D18" s="25" t="inlineStr">
        <is>
          <t>minimumHealthyPercent 以上、100 以下。切り上げ</t>
        </is>
      </c>
      <c r="E18" s="25" t="inlineStr">
        <is>
          <t>新しい側で RUNNING かつ健全である割合。</t>
        </is>
      </c>
      <c r="F18" s="25" t="inlineStr">
        <is>
          <t>—</t>
        </is>
      </c>
      <c r="G18" s="25" t="inlineStr">
        <is>
          <t>中</t>
        </is>
      </c>
    </row>
    <row r="19" ht="38" customHeight="1">
      <c r="A19" s="24" t="inlineStr">
        <is>
          <t>sourceServiceRevisionCleanup</t>
        </is>
      </c>
      <c r="B19" s="25" t="inlineStr">
        <is>
          <t>earlySuccessCriteria</t>
        </is>
      </c>
      <c r="C19" s="25" t="inlineStr">
        <is>
          <t>BLOCKING</t>
        </is>
      </c>
      <c r="D19" s="25" t="inlineStr">
        <is>
          <t>BLOCKING または DEFERRED</t>
        </is>
      </c>
      <c r="E19" s="25" t="inlineStr">
        <is>
          <t>BLOCKING は古いタスクを片付けてから完了。DEFERRED は完了を先にし、片付けはデプロイの外。</t>
        </is>
      </c>
      <c r="F19" s="25" t="inlineStr">
        <is>
          <t>—</t>
        </is>
      </c>
      <c r="G19" s="25" t="inlineStr">
        <is>
          <t>中</t>
        </is>
      </c>
    </row>
    <row r="20" ht="38" customHeight="1">
      <c r="A20" s="22" t="inlineStr">
        <is>
          <t>完了後のロールバック</t>
        </is>
      </c>
      <c r="B20" s="23" t="inlineStr">
        <is>
          <t>失敗検知の共通規則</t>
        </is>
      </c>
      <c r="C20" s="23" t="inlineStr">
        <is>
          <t>—</t>
        </is>
      </c>
      <c r="D20" s="23" t="inlineStr">
        <is>
          <t>—</t>
        </is>
      </c>
      <c r="E20" s="23" t="inlineStr">
        <is>
          <t>early success を含め、デプロイが完了したあとは、ブレーカーもアラームもそのサービスをロールバックしない。</t>
        </is>
      </c>
      <c r="F20" s="23" t="inlineStr">
        <is>
          <t>—</t>
        </is>
      </c>
      <c r="G20" s="23" t="inlineStr">
        <is>
          <t>高</t>
        </is>
      </c>
    </row>
    <row r="21" ht="38" customHeight="1">
      <c r="A21" s="22" t="inlineStr">
        <is>
          <t>40秒ルール</t>
        </is>
      </c>
      <c r="B21" s="23" t="inlineStr">
        <is>
          <t>スケジューラの内部規則。設定項目ではない</t>
        </is>
      </c>
      <c r="C21" s="23" t="inlineStr">
        <is>
          <t>40秒</t>
        </is>
      </c>
      <c r="D21" s="23" t="inlineStr">
        <is>
          <t>固定</t>
        </is>
      </c>
      <c r="E21" s="23" t="inlineStr">
        <is>
          <t>LB 無し、かつ必須コンテナに検査が無いときだけ。RUNNING の40秒後に健全数へ数える。</t>
        </is>
      </c>
      <c r="F21" s="23" t="inlineStr">
        <is>
          <t>—</t>
        </is>
      </c>
      <c r="G21" s="23" t="inlineStr">
        <is>
          <t>高</t>
        </is>
      </c>
    </row>
    <row r="22" ht="38" customHeight="1">
      <c r="A22" s="22" t="inlineStr">
        <is>
          <t>検査あり・LB 無しの健全</t>
        </is>
      </c>
      <c r="B22" s="23" t="inlineStr">
        <is>
          <t>スケジューラ</t>
        </is>
      </c>
      <c r="C22" s="23" t="inlineStr">
        <is>
          <t>—</t>
        </is>
      </c>
      <c r="D22" s="23" t="inlineStr">
        <is>
          <t>—</t>
        </is>
      </c>
      <c r="E22" s="23" t="inlineStr">
        <is>
          <t>検査付き必須コンテナがすべて HEALTHY になるまで、minimumHealthyPercent へ数えない。40秒ルールは使わない。</t>
        </is>
      </c>
      <c r="F22" s="23" t="inlineStr">
        <is>
          <t>—</t>
        </is>
      </c>
      <c r="G22" s="23" t="inlineStr">
        <is>
          <t>高</t>
        </is>
      </c>
    </row>
    <row r="23" ht="23" customHeight="1">
      <c r="A23" s="22" t="inlineStr">
        <is>
          <t>LB あり・検査無しの健全</t>
        </is>
      </c>
      <c r="B23" s="23" t="inlineStr">
        <is>
          <t>スケジューラ</t>
        </is>
      </c>
      <c r="C23" s="23" t="inlineStr">
        <is>
          <t>—</t>
        </is>
      </c>
      <c r="D23" s="23" t="inlineStr">
        <is>
          <t>—</t>
        </is>
      </c>
      <c r="E23" s="23" t="inlineStr">
        <is>
          <t>ターゲットグループが healthy を返すまで数えない。新規は成功1回。</t>
        </is>
      </c>
      <c r="F23" s="23" t="inlineStr">
        <is>
          <t>—</t>
        </is>
      </c>
      <c r="G23" s="23" t="inlineStr">
        <is>
          <t>高</t>
        </is>
      </c>
    </row>
    <row r="24" ht="23" customHeight="1">
      <c r="A24" s="22" t="inlineStr">
        <is>
          <t>LB あり・検査ありの健全</t>
        </is>
      </c>
      <c r="B24" s="23" t="inlineStr">
        <is>
          <t>スケジューラ</t>
        </is>
      </c>
      <c r="C24" s="23" t="inlineStr">
        <is>
          <t>—</t>
        </is>
      </c>
      <c r="D24" s="23" t="inlineStr">
        <is>
          <t>—</t>
        </is>
      </c>
      <c r="E24" s="23" t="inlineStr">
        <is>
          <t>タスク HEALTHY と、ターゲット healthy の両方が必要。</t>
        </is>
      </c>
      <c r="F24" s="23" t="inlineStr">
        <is>
          <t>—</t>
        </is>
      </c>
      <c r="G24" s="23" t="inlineStr">
        <is>
          <t>高</t>
        </is>
      </c>
    </row>
    <row r="25" ht="38" customHeight="1">
      <c r="A25" s="24" t="inlineStr">
        <is>
          <t>タスク定義の変更</t>
        </is>
      </c>
      <c r="B25" s="25" t="inlineStr">
        <is>
          <t>サービス更新</t>
        </is>
      </c>
      <c r="C25" s="25" t="inlineStr">
        <is>
          <t>—</t>
        </is>
      </c>
      <c r="D25" s="25" t="inlineStr">
        <is>
          <t>family:revision</t>
        </is>
      </c>
      <c r="E25" s="25" t="inlineStr">
        <is>
          <t>新しいデプロイが始まる。聴診器の変更は、新しい箱を出し始めて初めて本番のタスクへ効く。</t>
        </is>
      </c>
      <c r="F25" s="25" t="inlineStr">
        <is>
          <t>する</t>
        </is>
      </c>
      <c r="G25" s="25" t="inlineStr">
        <is>
          <t>中</t>
        </is>
      </c>
    </row>
    <row r="26" ht="23" customHeight="1">
      <c r="A26" s="24" t="inlineStr">
        <is>
          <t>ネットワーク設定の変更</t>
        </is>
      </c>
      <c r="B26" s="25" t="inlineStr">
        <is>
          <t>サービス</t>
        </is>
      </c>
      <c r="C26" s="25" t="inlineStr">
        <is>
          <t>—</t>
        </is>
      </c>
      <c r="D26" s="25" t="inlineStr">
        <is>
          <t>サブネット、SG、Public IP</t>
        </is>
      </c>
      <c r="E26" s="25" t="inlineStr">
        <is>
          <t>新しいデプロイが始まる。</t>
        </is>
      </c>
      <c r="F26" s="25" t="inlineStr">
        <is>
          <t>する</t>
        </is>
      </c>
      <c r="G26" s="25" t="inlineStr">
        <is>
          <t>中</t>
        </is>
      </c>
    </row>
    <row r="27" ht="23" customHeight="1">
      <c r="A27" s="24" t="inlineStr">
        <is>
          <t>配置戦略、タグ、desired</t>
        </is>
      </c>
      <c r="B27" s="25" t="inlineStr">
        <is>
          <t>サービス</t>
        </is>
      </c>
      <c r="C27" s="25" t="inlineStr">
        <is>
          <t>—</t>
        </is>
      </c>
      <c r="D27" s="25" t="inlineStr">
        <is>
          <t>—</t>
        </is>
      </c>
      <c r="E27" s="25" t="inlineStr">
        <is>
          <t>これらだけでは新しいデプロイを開始しない。</t>
        </is>
      </c>
      <c r="F27" s="25" t="inlineStr">
        <is>
          <t>しない</t>
        </is>
      </c>
      <c r="G27" s="25" t="inlineStr">
        <is>
          <t>中</t>
        </is>
      </c>
    </row>
    <row r="28" ht="38" customHeight="1">
      <c r="A28" s="24" t="inlineStr">
        <is>
          <t>AvailabilityZoneRebalancing</t>
        </is>
      </c>
      <c r="B28" s="25" t="inlineStr">
        <is>
          <t>サービス</t>
        </is>
      </c>
      <c r="C28" s="25" t="inlineStr">
        <is>
          <t>2025-09-05 以降の対象新規作成は ENABLED</t>
        </is>
      </c>
      <c r="D28" s="25" t="inlineStr">
        <is>
          <t>ENABLED / DISABLED</t>
        </is>
      </c>
      <c r="E28" s="25" t="inlineStr">
        <is>
          <t>ヘルスチェックとは別の理由でタスクを起動し、止める。</t>
        </is>
      </c>
      <c r="F28" s="25" t="inlineStr">
        <is>
          <t>—</t>
        </is>
      </c>
      <c r="G28" s="25" t="inlineStr">
        <is>
          <t>中</t>
        </is>
      </c>
    </row>
  </sheetData>
  <autoFilter ref="A4:G28"/>
  <mergeCells count="2">
    <mergeCell ref="A2:G2"/>
    <mergeCell ref="A1:G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07_サービス設定</oddHeader>
    <oddFooter>&amp;L&amp;"Meiryo UI"&amp;8 調査基準日 2026-10-02  公式ドキュメントに基づく解説  モノトーン / Meiryo UI&amp;R&amp;"Meiryo UI"&amp;8 &amp;P / &amp;N</oddFooter>
    <evenHeader/>
    <evenFooter/>
    <firstHeader/>
    <firstFooter/>
  </headerFooter>
</worksheet>
</file>

<file path=xl/worksheets/sheet9.xml><?xml version="1.0" encoding="utf-8"?>
<worksheet xmlns="http://schemas.openxmlformats.org/spreadsheetml/2006/main">
  <sheetPr>
    <tabColor rgb="004A4A4A"/>
    <outlinePr summaryBelow="1" summaryRight="1"/>
    <pageSetUpPr fitToPage="1"/>
  </sheetPr>
  <dimension ref="A1:F21"/>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8" customWidth="1" min="1" max="1"/>
    <col width="28" customWidth="1" min="2" max="2"/>
    <col width="12" customWidth="1" min="3" max="3"/>
    <col width="55" customWidth="1" min="4" max="4"/>
    <col width="62" customWidth="1" min="5" max="5"/>
    <col width="12" customWidth="1" min="6" max="6"/>
  </cols>
  <sheetData>
    <row r="1" ht="32" customHeight="1">
      <c r="A1" s="17" t="inlineStr">
        <is>
          <t>状態の移り変わり</t>
        </is>
      </c>
      <c r="B1" s="18" t="n"/>
      <c r="C1" s="18" t="n"/>
      <c r="D1" s="18" t="n"/>
      <c r="E1" s="18" t="n"/>
      <c r="F1" s="18" t="n"/>
    </row>
    <row r="2" ht="34" customHeight="1">
      <c r="A2" s="19" t="inlineStr">
        <is>
          <t>RUNNING は「起動した」です。「残してよい」ではありません。</t>
        </is>
      </c>
      <c r="B2" s="18" t="n"/>
      <c r="C2" s="18" t="n"/>
      <c r="D2" s="18" t="n"/>
      <c r="E2" s="18" t="n"/>
      <c r="F2" s="18" t="n"/>
    </row>
    <row r="3" ht="8" customHeight="1">
      <c r="A3" s="18" t="n"/>
      <c r="B3" s="18" t="n"/>
      <c r="C3" s="18" t="n"/>
      <c r="D3" s="18" t="n"/>
      <c r="E3" s="18" t="n"/>
      <c r="F3" s="18" t="n"/>
    </row>
    <row r="4" ht="32" customHeight="1">
      <c r="A4" s="9" t="inlineStr">
        <is>
          <t>順</t>
        </is>
      </c>
      <c r="B4" s="9" t="inlineStr">
        <is>
          <t>状態</t>
        </is>
      </c>
      <c r="C4" s="9" t="inlineStr">
        <is>
          <t>方向</t>
        </is>
      </c>
      <c r="D4" s="9" t="inlineStr">
        <is>
          <t>ここで起きること</t>
        </is>
      </c>
      <c r="E4" s="9" t="inlineStr">
        <is>
          <t>健康との関係</t>
        </is>
      </c>
      <c r="F4" s="9" t="inlineStr">
        <is>
          <t>重要度</t>
        </is>
      </c>
    </row>
    <row r="5" ht="23" customHeight="1">
      <c r="A5" s="20" t="inlineStr">
        <is>
          <t>1</t>
        </is>
      </c>
      <c r="B5" s="21" t="inlineStr">
        <is>
          <t>PROVISIONING</t>
        </is>
      </c>
      <c r="C5" s="21" t="inlineStr">
        <is>
          <t>起動</t>
        </is>
      </c>
      <c r="D5" s="21" t="inlineStr">
        <is>
          <t>タスクに必要なリソースを準備する。</t>
        </is>
      </c>
      <c r="E5" s="21" t="inlineStr">
        <is>
          <t>まだ検査も受付も無い。</t>
        </is>
      </c>
      <c r="F5" s="21" t="inlineStr">
        <is>
          <t>基礎</t>
        </is>
      </c>
    </row>
    <row r="6" ht="23" customHeight="1">
      <c r="A6" s="22" t="inlineStr">
        <is>
          <t>2</t>
        </is>
      </c>
      <c r="B6" s="23" t="inlineStr">
        <is>
          <t>PENDING</t>
        </is>
      </c>
      <c r="C6" s="23" t="inlineStr">
        <is>
          <t>起動</t>
        </is>
      </c>
      <c r="D6" s="23" t="inlineStr">
        <is>
          <t>置く場所が決まるのを待つ。容量不足はここで滞る。</t>
        </is>
      </c>
      <c r="E6" s="23" t="inlineStr">
        <is>
          <t>RUNNING にならない失敗は、ブレーカー第1段階の材料。</t>
        </is>
      </c>
      <c r="F6" s="23" t="inlineStr">
        <is>
          <t>高</t>
        </is>
      </c>
    </row>
    <row r="7" ht="38" customHeight="1">
      <c r="A7" s="22" t="inlineStr">
        <is>
          <t>3</t>
        </is>
      </c>
      <c r="B7" s="23" t="inlineStr">
        <is>
          <t>ACTIVATING</t>
        </is>
      </c>
      <c r="C7" s="23" t="inlineStr">
        <is>
          <t>起動</t>
        </is>
      </c>
      <c r="D7" s="23" t="inlineStr">
        <is>
          <t>イメージ取得、コンテナ作成、ネットワーク、ターゲットグループ登録、サービスディスカバリ。</t>
        </is>
      </c>
      <c r="E7" s="23" t="inlineStr">
        <is>
          <t>ALB の状態は initial になり得る。登録された瞬間から受付の検査は始まる。</t>
        </is>
      </c>
      <c r="F7" s="23" t="inlineStr">
        <is>
          <t>高</t>
        </is>
      </c>
    </row>
    <row r="8" ht="38" customHeight="1">
      <c r="A8" s="22" t="inlineStr">
        <is>
          <t>4</t>
        </is>
      </c>
      <c r="B8" s="23" t="inlineStr">
        <is>
          <t>RUNNING</t>
        </is>
      </c>
      <c r="C8" s="23" t="inlineStr">
        <is>
          <t>起動</t>
        </is>
      </c>
      <c r="D8" s="23" t="inlineStr">
        <is>
          <t>プロセスが動いている。</t>
        </is>
      </c>
      <c r="E8" s="23" t="inlineStr">
        <is>
          <t>RUNNING は健全ではない。検査の HEALTHY と、ALB の healthy は別。</t>
        </is>
      </c>
      <c r="F8" s="23" t="inlineStr">
        <is>
          <t>高</t>
        </is>
      </c>
    </row>
    <row r="9" ht="38" customHeight="1">
      <c r="A9" s="22" t="inlineStr">
        <is>
          <t>5</t>
        </is>
      </c>
      <c r="B9" s="23" t="inlineStr">
        <is>
          <t>コンテナ UNKNOWN</t>
        </is>
      </c>
      <c r="C9" s="23" t="inlineStr">
        <is>
          <t>検査</t>
        </is>
      </c>
      <c r="D9" s="23" t="inlineStr">
        <is>
          <t>検査の評価中、または結果がまだ無い。</t>
        </is>
      </c>
      <c r="E9" s="23" t="inlineStr">
        <is>
          <t>タスクも、参加コンテナに UNKNOWN が残れば UNKNOWN。交換理由そのものではない。</t>
        </is>
      </c>
      <c r="F9" s="23" t="inlineStr">
        <is>
          <t>高</t>
        </is>
      </c>
    </row>
    <row r="10" ht="38" customHeight="1">
      <c r="A10" s="22" t="inlineStr">
        <is>
          <t>6</t>
        </is>
      </c>
      <c r="B10" s="23" t="inlineStr">
        <is>
          <t>コンテナ HEALTHY</t>
        </is>
      </c>
      <c r="C10" s="23" t="inlineStr">
        <is>
          <t>検査</t>
        </is>
      </c>
      <c r="D10" s="23" t="inlineStr">
        <is>
          <t>コマンドが成功した。startPeriod 中の成功でも、その時点で HEALTHY。</t>
        </is>
      </c>
      <c r="E10" s="23" t="inlineStr">
        <is>
          <t>LB が無いサービスでは、参加コンテナが全部 HEALTHY なら健全カウントの条件を満たす。</t>
        </is>
      </c>
      <c r="F10" s="23" t="inlineStr">
        <is>
          <t>高</t>
        </is>
      </c>
    </row>
    <row r="11" ht="23" customHeight="1">
      <c r="A11" s="22" t="inlineStr">
        <is>
          <t>7</t>
        </is>
      </c>
      <c r="B11" s="23" t="inlineStr">
        <is>
          <t>コンテナ UNHEALTHY</t>
        </is>
      </c>
      <c r="C11" s="23" t="inlineStr">
        <is>
          <t>検査</t>
        </is>
      </c>
      <c r="D11" s="23" t="inlineStr">
        <is>
          <t>連続失敗が retries に達した。</t>
        </is>
      </c>
      <c r="E11" s="23" t="inlineStr">
        <is>
          <t>必須かつ検査付きならタスクも UNHEALTHY。猶予の外で交換へ進む。</t>
        </is>
      </c>
      <c r="F11" s="23" t="inlineStr">
        <is>
          <t>高</t>
        </is>
      </c>
    </row>
    <row r="12" ht="23" customHeight="1">
      <c r="A12" s="22" t="inlineStr">
        <is>
          <t>8</t>
        </is>
      </c>
      <c r="B12" s="23" t="inlineStr">
        <is>
          <t>ターゲット initial</t>
        </is>
      </c>
      <c r="C12" s="23" t="inlineStr">
        <is>
          <t>受付</t>
        </is>
      </c>
      <c r="D12" s="23" t="inlineStr">
        <is>
          <t>初期検査中。</t>
        </is>
      </c>
      <c r="E12" s="23" t="inlineStr">
        <is>
          <t>健全カウントには入れない。新規は成功1回で healthy へ進める。</t>
        </is>
      </c>
      <c r="F12" s="23" t="inlineStr">
        <is>
          <t>高</t>
        </is>
      </c>
    </row>
    <row r="13" ht="38" customHeight="1">
      <c r="A13" s="22" t="inlineStr">
        <is>
          <t>9</t>
        </is>
      </c>
      <c r="B13" s="23" t="inlineStr">
        <is>
          <t>ターゲット healthy</t>
        </is>
      </c>
      <c r="C13" s="23" t="inlineStr">
        <is>
          <t>受付</t>
        </is>
      </c>
      <c r="D13" s="23" t="inlineStr">
        <is>
          <t>受付が客を案内してよい。</t>
        </is>
      </c>
      <c r="E13" s="23" t="inlineStr">
        <is>
          <t>検査もあるサービスでは、コンテナ HEALTHY と両方が揃って初めて数える。</t>
        </is>
      </c>
      <c r="F13" s="23" t="inlineStr">
        <is>
          <t>高</t>
        </is>
      </c>
    </row>
    <row r="14" ht="38" customHeight="1">
      <c r="A14" s="22" t="inlineStr">
        <is>
          <t>10</t>
        </is>
      </c>
      <c r="B14" s="23" t="inlineStr">
        <is>
          <t>ターゲット unhealthy</t>
        </is>
      </c>
      <c r="C14" s="23" t="inlineStr">
        <is>
          <t>受付</t>
        </is>
      </c>
      <c r="D14" s="23" t="inlineStr">
        <is>
          <t>新規通信を外す。理由コードが付く。</t>
        </is>
      </c>
      <c r="E14" s="23" t="inlineStr">
        <is>
          <t>猶予の外ならスケジューラの交換理由。猶予の中ならイベントは出ても、原則止めない。</t>
        </is>
      </c>
      <c r="F14" s="23" t="inlineStr">
        <is>
          <t>高</t>
        </is>
      </c>
    </row>
    <row r="15" ht="23" customHeight="1">
      <c r="A15" s="22" t="inlineStr">
        <is>
          <t>11</t>
        </is>
      </c>
      <c r="B15" s="23" t="inlineStr">
        <is>
          <t>DEACTIVATING</t>
        </is>
      </c>
      <c r="C15" s="23" t="inlineStr">
        <is>
          <t>停止</t>
        </is>
      </c>
      <c r="D15" s="23" t="inlineStr">
        <is>
          <t>ターゲットグループからの登録解除など、停止前の追加処理。</t>
        </is>
      </c>
      <c r="E15" s="23" t="inlineStr">
        <is>
          <t>draining。排出遅延の既定は最大300秒。判定の待ち時間ではない。</t>
        </is>
      </c>
      <c r="F15" s="23" t="inlineStr">
        <is>
          <t>高</t>
        </is>
      </c>
    </row>
    <row r="16" ht="23" customHeight="1">
      <c r="A16" s="24" t="inlineStr">
        <is>
          <t>12</t>
        </is>
      </c>
      <c r="B16" s="25" t="inlineStr">
        <is>
          <t>STOPPING</t>
        </is>
      </c>
      <c r="C16" s="25" t="inlineStr">
        <is>
          <t>停止</t>
        </is>
      </c>
      <c r="D16" s="25" t="inlineStr">
        <is>
          <t>タスクを止めている。</t>
        </is>
      </c>
      <c r="E16" s="25" t="inlineStr">
        <is>
          <t>もう健全数には入れない。上限台数の計算には STOPPING が含まれる。</t>
        </is>
      </c>
      <c r="F16" s="25" t="inlineStr">
        <is>
          <t>中</t>
        </is>
      </c>
    </row>
    <row r="17" ht="23" customHeight="1">
      <c r="A17" s="20" t="inlineStr">
        <is>
          <t>13</t>
        </is>
      </c>
      <c r="B17" s="21" t="inlineStr">
        <is>
          <t>DEPROVISIONING</t>
        </is>
      </c>
      <c r="C17" s="21" t="inlineStr">
        <is>
          <t>停止</t>
        </is>
      </c>
      <c r="D17" s="21" t="inlineStr">
        <is>
          <t>ENI などのリソースを片付ける。</t>
        </is>
      </c>
      <c r="E17" s="21" t="inlineStr">
        <is>
          <t>—</t>
        </is>
      </c>
      <c r="F17" s="21" t="inlineStr">
        <is>
          <t>基礎</t>
        </is>
      </c>
    </row>
    <row r="18" ht="38" customHeight="1">
      <c r="A18" s="24" t="inlineStr">
        <is>
          <t>14</t>
        </is>
      </c>
      <c r="B18" s="25" t="inlineStr">
        <is>
          <t>STOPPED</t>
        </is>
      </c>
      <c r="C18" s="25" t="inlineStr">
        <is>
          <t>停止</t>
        </is>
      </c>
      <c r="D18" s="25" t="inlineStr">
        <is>
          <t>停止完了。</t>
        </is>
      </c>
      <c r="E18" s="25" t="inlineStr">
        <is>
          <t>desired を守るため、必要ならすでに新しいタスクが RUNNING へ向かっている。</t>
        </is>
      </c>
      <c r="F18" s="25" t="inlineStr">
        <is>
          <t>中</t>
        </is>
      </c>
    </row>
    <row r="19" ht="23" customHeight="1">
      <c r="A19" s="22" t="inlineStr">
        <is>
          <t>15</t>
        </is>
      </c>
      <c r="B19" s="23" t="inlineStr">
        <is>
          <t>ロールアウト IN_PROGRESS</t>
        </is>
      </c>
      <c r="C19" s="23" t="inlineStr">
        <is>
          <t>デプロイ</t>
        </is>
      </c>
      <c r="D19" s="23" t="inlineStr">
        <is>
          <t>新しいデプロイが進んでいる。</t>
        </is>
      </c>
      <c r="E19" s="23" t="inlineStr">
        <is>
          <t>ブレーカーとアラームはこの間だけ、デプロイ失敗を宣言できる。</t>
        </is>
      </c>
      <c r="F19" s="23" t="inlineStr">
        <is>
          <t>高</t>
        </is>
      </c>
    </row>
    <row r="20" ht="23" customHeight="1">
      <c r="A20" s="22" t="inlineStr">
        <is>
          <t>16</t>
        </is>
      </c>
      <c r="B20" s="23" t="inlineStr">
        <is>
          <t>ロールアウト COMPLETED</t>
        </is>
      </c>
      <c r="C20" s="23" t="inlineStr">
        <is>
          <t>デプロイ</t>
        </is>
      </c>
      <c r="D20" s="23" t="inlineStr">
        <is>
          <t>定常状態。アラーム利用時は bake time のあと。</t>
        </is>
      </c>
      <c r="E20" s="23" t="inlineStr">
        <is>
          <t>このリビジョンが現行。ブレーカーはもう戻さない。</t>
        </is>
      </c>
      <c r="F20" s="23" t="inlineStr">
        <is>
          <t>高</t>
        </is>
      </c>
    </row>
    <row r="21" ht="38" customHeight="1">
      <c r="A21" s="22" t="inlineStr">
        <is>
          <t>17</t>
        </is>
      </c>
      <c r="B21" s="23" t="inlineStr">
        <is>
          <t>ロールアウト FAILED</t>
        </is>
      </c>
      <c r="C21" s="23" t="inlineStr">
        <is>
          <t>デプロイ</t>
        </is>
      </c>
      <c r="D21" s="23" t="inlineStr">
        <is>
          <t>ブレーカーまたはアラームが失敗と宣言した。</t>
        </is>
      </c>
      <c r="E21" s="23" t="inlineStr">
        <is>
          <t>新しいタスクを起動しない。rollback の条件が揃えば、過去の COMPLETED が再び IN_PROGRESS になる。</t>
        </is>
      </c>
      <c r="F21" s="23" t="inlineStr">
        <is>
          <t>高</t>
        </is>
      </c>
    </row>
  </sheetData>
  <autoFilter ref="A4:F21"/>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08_状態遷移</oddHeader>
    <oddFooter>&amp;L&amp;"Meiryo UI"&amp;8 調査基準日 2026-10-02  公式ドキュメントに基づく解説  モノトーン / Meiryo UI&amp;R&amp;"Meiryo UI"&amp;8 &amp;P / &amp;N</oddFooter>
    <evenHeader/>
    <evenFooter/>
    <firstHeader/>
    <firstFooter/>
  </headerFooter>
</worksheet>
</file>

<file path=xl/worksheets/sheet10.xml><?xml version="1.0" encoding="utf-8"?>
<worksheet xmlns="http://schemas.openxmlformats.org/spreadsheetml/2006/main">
  <sheetPr>
    <tabColor rgb="004A4A4A"/>
    <outlinePr summaryBelow="1" summaryRight="1"/>
    <pageSetUpPr fitToPage="1"/>
  </sheetPr>
  <dimension ref="A1:F14"/>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10" customWidth="1" min="1" max="1"/>
    <col width="42" customWidth="1" min="2" max="2"/>
    <col width="55" customWidth="1" min="3" max="3"/>
    <col width="48" customWidth="1" min="4" max="4"/>
    <col width="48" customWidth="1" min="5" max="5"/>
    <col width="12" customWidth="1" min="6" max="6"/>
  </cols>
  <sheetData>
    <row r="1" ht="32" customHeight="1">
      <c r="A1" s="17" t="inlineStr">
        <is>
          <t>Unhealthy からタスク置換まで</t>
        </is>
      </c>
      <c r="B1" s="18" t="n"/>
      <c r="C1" s="18" t="n"/>
      <c r="D1" s="18" t="n"/>
      <c r="E1" s="18" t="n"/>
      <c r="F1" s="18" t="n"/>
    </row>
    <row r="2" ht="34" customHeight="1">
      <c r="A2" s="19" t="inlineStr">
        <is>
          <t>上から順に判定します。途中で「まだ止めない」と出たら、下の交換手順には進みません。</t>
        </is>
      </c>
      <c r="B2" s="18" t="n"/>
      <c r="C2" s="18" t="n"/>
      <c r="D2" s="18" t="n"/>
      <c r="E2" s="18" t="n"/>
      <c r="F2" s="18" t="n"/>
    </row>
    <row r="3" ht="8" customHeight="1">
      <c r="A3" s="18" t="n"/>
      <c r="B3" s="18" t="n"/>
      <c r="C3" s="18" t="n"/>
      <c r="D3" s="18" t="n"/>
      <c r="E3" s="18" t="n"/>
      <c r="F3" s="18" t="n"/>
    </row>
    <row r="4" ht="32" customHeight="1">
      <c r="A4" s="9" t="inlineStr">
        <is>
          <t>判定順</t>
        </is>
      </c>
      <c r="B4" s="9" t="inlineStr">
        <is>
          <t>質問</t>
        </is>
      </c>
      <c r="C4" s="9" t="inlineStr">
        <is>
          <t>はいのとき</t>
        </is>
      </c>
      <c r="D4" s="9" t="inlineStr">
        <is>
          <t>いいえのとき</t>
        </is>
      </c>
      <c r="E4" s="9" t="inlineStr">
        <is>
          <t>取り違えやすい点</t>
        </is>
      </c>
      <c r="F4" s="9" t="inlineStr">
        <is>
          <t>重要度</t>
        </is>
      </c>
    </row>
    <row r="5" ht="38" customHeight="1">
      <c r="A5" s="22" t="inlineStr">
        <is>
          <t>1</t>
        </is>
      </c>
      <c r="B5" s="23" t="inlineStr">
        <is>
          <t>そのタスクは ECS サービスのメンバーか</t>
        </is>
      </c>
      <c r="C5" s="23" t="inlineStr">
        <is>
          <t>次の質問へ。</t>
        </is>
      </c>
      <c r="D5" s="23" t="inlineStr">
        <is>
          <t>UNHEALTHY でも交換しない。RunTask はそのまま生きる。</t>
        </is>
      </c>
      <c r="E5" s="23" t="inlineStr">
        <is>
          <t>検査が赤でも、サービスでなければ職員室は動かない。</t>
        </is>
      </c>
      <c r="F5" s="23" t="inlineStr">
        <is>
          <t>高</t>
        </is>
      </c>
    </row>
    <row r="6" ht="53" customHeight="1">
      <c r="A6" s="22" t="inlineStr">
        <is>
          <t>2</t>
        </is>
      </c>
      <c r="B6" s="23" t="inlineStr">
        <is>
          <t>必須コンテナのプロセスは終了したか</t>
        </is>
      </c>
      <c r="C6" s="23" t="inlineStr">
        <is>
          <t>再起動ポリシーの範囲を超えればタスクは停止する。検査の retries は待たない。サービスは desired を埋めるため新しいタスクを起動する。</t>
        </is>
      </c>
      <c r="D6" s="23" t="inlineStr">
        <is>
          <t>次の質問へ。</t>
        </is>
      </c>
      <c r="E6" s="23" t="inlineStr">
        <is>
          <t>プロセス終了と、検査の UNHEALTHY は別の扉。</t>
        </is>
      </c>
      <c r="F6" s="23" t="inlineStr">
        <is>
          <t>高</t>
        </is>
      </c>
    </row>
    <row r="7" ht="68" customHeight="1">
      <c r="A7" s="22" t="inlineStr">
        <is>
          <t>3</t>
        </is>
      </c>
      <c r="B7" s="23" t="inlineStr">
        <is>
          <t>起動からの経過は猶予秒数の内か</t>
        </is>
      </c>
      <c r="C7" s="23" t="inlineStr">
        <is>
          <t>スケジューラは、コンテナ検査、ELB、VPC Lattice の不健康では止めない。ALB は検査を続け、通信だけ外し得る。実行数が desired より多いときは、猶予中でも desired へ戻すために止め得る。</t>
        </is>
      </c>
      <c r="D7" s="23" t="inlineStr">
        <is>
          <t>次の質問へ。</t>
        </is>
      </c>
      <c r="E7" s="23" t="inlineStr">
        <is>
          <t>猶予は受付を休ませない。失敗を帳消しにもしない。</t>
        </is>
      </c>
      <c r="F7" s="23" t="inlineStr">
        <is>
          <t>高</t>
        </is>
      </c>
    </row>
    <row r="8" ht="38" customHeight="1">
      <c r="A8" s="22" t="inlineStr">
        <is>
          <t>4</t>
        </is>
      </c>
      <c r="B8" s="23" t="inlineStr">
        <is>
          <t>検査付きの必須コンテナが UNHEALTHY か</t>
        </is>
      </c>
      <c r="C8" s="23" t="inlineStr">
        <is>
          <t>タスクは UNHEALTHY。置換手順へ進む。</t>
        </is>
      </c>
      <c r="D8" s="23" t="inlineStr">
        <is>
          <t>次の質問へ。非必須だけ、または検査無しの UNKNOWN なら、この質問では交換しない。</t>
        </is>
      </c>
      <c r="E8" s="23" t="inlineStr">
        <is>
          <t>Dockerfile だけの HEALTHCHECK は、この質問の材料にならない。</t>
        </is>
      </c>
      <c r="F8" s="23" t="inlineStr">
        <is>
          <t>高</t>
        </is>
      </c>
    </row>
    <row r="9" ht="53" customHeight="1">
      <c r="A9" s="22" t="inlineStr">
        <is>
          <t>5</t>
        </is>
      </c>
      <c r="B9" s="23" t="inlineStr">
        <is>
          <t>LB または VPC Lattice が、猶予の外で unhealthy にしたか</t>
        </is>
      </c>
      <c r="C9" s="23" t="inlineStr">
        <is>
          <t>コンテナが HEALTHY でも、スケジューラは交換理由にする。2023-10-23 の発表は、コンテナ検査とロードバランサー検査の両方を対象にしている。</t>
        </is>
      </c>
      <c r="D9" s="23" t="inlineStr">
        <is>
          <t>ヘルスチェックを理由とした交換はしない。</t>
        </is>
      </c>
      <c r="E9" s="23" t="inlineStr">
        <is>
          <t>受付の unhealthy は、通信停止と、タスク交換の両方を起こし得る。時刻は違う。</t>
        </is>
      </c>
      <c r="F9" s="23" t="inlineStr">
        <is>
          <t>高</t>
        </is>
      </c>
    </row>
    <row r="10" ht="53" customHeight="1">
      <c r="A10" s="22" t="inlineStr">
        <is>
          <t>6</t>
        </is>
      </c>
      <c r="B10" s="23" t="inlineStr">
        <is>
          <t>maximumPercent に、今の台数を超える枠があるか</t>
        </is>
      </c>
      <c r="C10" s="23" t="inlineStr">
        <is>
          <t>古いタスクを生かしたまま代わりを起動する。代わりが健全になってから、古いタスクを DEACTIVATING へ入れる。</t>
        </is>
      </c>
      <c r="D10" s="23" t="inlineStr">
        <is>
          <t>minimumHealthyPercent を下回らない範囲で、不健康タスクを1つずつ止めて容量を空け、そのあと起動する。</t>
        </is>
      </c>
      <c r="E10" s="23" t="inlineStr">
        <is>
          <t>枠はあっても、クラスタ容量が無ければ PENDING のまま。計算上の200%と、実際に置けるかは別。</t>
        </is>
      </c>
      <c r="F10" s="23" t="inlineStr">
        <is>
          <t>高</t>
        </is>
      </c>
    </row>
    <row r="11" ht="38" customHeight="1">
      <c r="A11" s="22" t="inlineStr">
        <is>
          <t>7</t>
        </is>
      </c>
      <c r="B11" s="23" t="inlineStr">
        <is>
          <t>停止を決めたあと、何が待つか</t>
        </is>
      </c>
      <c r="C11" s="23" t="inlineStr">
        <is>
          <t>DEACTIVATING で登録解除。排出遅延の既定は最大300秒。その後 STOPPING、DEPROVISIONING、STOPPED。</t>
        </is>
      </c>
      <c r="D11" s="23" t="inlineStr">
        <is>
          <t>—</t>
        </is>
      </c>
      <c r="E11" s="23" t="inlineStr">
        <is>
          <t>300秒は、不健康と判定するまでの interval ではない。</t>
        </is>
      </c>
      <c r="F11" s="23" t="inlineStr">
        <is>
          <t>高</t>
        </is>
      </c>
    </row>
    <row r="12" ht="38" customHeight="1">
      <c r="A12" s="22" t="inlineStr">
        <is>
          <t>8</t>
        </is>
      </c>
      <c r="B12" s="23" t="inlineStr">
        <is>
          <t>進行中デプロイの失敗カウントは閾値に達したか</t>
        </is>
      </c>
      <c r="C12" s="23" t="inlineStr">
        <is>
          <t>個別交換とは別に、デプロイが FAILED。新規起動が止まる。rollback が true で COMPLETED があれば、そこへ戻る。</t>
        </is>
      </c>
      <c r="D12" s="23" t="inlineStr">
        <is>
          <t>個別交換を続け、デプロイは IN_PROGRESS のまま。健全が揃えば COMPLETED へ向かう。</t>
        </is>
      </c>
      <c r="E12" s="23" t="inlineStr">
        <is>
          <t>ブレーカーは、午後の1タスク故障を、完了済みデプロイのロールバックにはしない。</t>
        </is>
      </c>
      <c r="F12" s="23" t="inlineStr">
        <is>
          <t>高</t>
        </is>
      </c>
    </row>
    <row r="13" ht="53" customHeight="1">
      <c r="A13" s="24" t="inlineStr">
        <is>
          <t>9</t>
        </is>
      </c>
      <c r="B13" s="25" t="inlineStr">
        <is>
          <t>Cloud Map の検査失敗はどちらか</t>
        </is>
      </c>
      <c r="C13" s="25" t="inlineStr">
        <is>
          <t>ブレーカー第2段階の監視対象として公式に挙がっている。Service Connect も Cloud Map を使う。</t>
        </is>
      </c>
      <c r="D13" s="25" t="inlineStr">
        <is>
          <t>定常時の「1タスクを交換する」と名指しされているのは、コンテナ検査、ロードバランサー、猶予の対象である VPC Lattice。</t>
        </is>
      </c>
      <c r="E13" s="25" t="inlineStr">
        <is>
          <t>Service Connect の失敗を、ALB のイベント文面だけで探さない。</t>
        </is>
      </c>
      <c r="F13" s="25" t="inlineStr">
        <is>
          <t>中</t>
        </is>
      </c>
    </row>
    <row r="14" ht="38" customHeight="1">
      <c r="A14" s="22" t="inlineStr">
        <is>
          <t>10</t>
        </is>
      </c>
      <c r="B14" s="23" t="inlineStr">
        <is>
          <t>全員が同時に unhealthy か</t>
        </is>
      </c>
      <c r="C14" s="23" t="inlineStr">
        <is>
          <t>ALB はフェイルオープンで、有効 AZ の登録ターゲット全員へ送る。スケジューラは枠の範囲で代わりの起動も進める。</t>
        </is>
      </c>
      <c r="D14" s="23" t="inlineStr">
        <is>
          <t>他に healthy がいれば、unhealthy のターゲットへ新規通信は行かない。</t>
        </is>
      </c>
      <c r="E14" s="23" t="inlineStr">
        <is>
          <t>unhealthy イコール無通信、は他に健康なターゲットがいるときだけ正しい。</t>
        </is>
      </c>
      <c r="F14" s="23" t="inlineStr">
        <is>
          <t>高</t>
        </is>
      </c>
    </row>
  </sheetData>
  <autoFilter ref="A4:F14"/>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09_置換の条件</oddHeader>
    <oddFooter>&amp;L&amp;"Meiryo UI"&amp;8 調査基準日 2026-10-02  公式ドキュメントに基づく解説  モノトーン / Meiryo UI&amp;R&amp;"Meiryo UI"&amp;8 &amp;P / &amp;N</oddFooter>
    <evenHeader/>
    <evenFooter/>
    <firstHeader/>
    <firstFooter/>
  </headerFooter>
</worksheet>
</file>

<file path=xl/worksheets/sheet11.xml><?xml version="1.0" encoding="utf-8"?>
<worksheet xmlns="http://schemas.openxmlformats.org/spreadsheetml/2006/main">
  <sheetPr>
    <tabColor rgb="004A4A4A"/>
    <outlinePr summaryBelow="1" summaryRight="1"/>
    <pageSetUpPr fitToPage="1"/>
  </sheetPr>
  <dimension ref="A1:F14"/>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28" customWidth="1" min="1" max="1"/>
    <col width="42" customWidth="1" min="2" max="2"/>
    <col width="42" customWidth="1" min="3" max="3"/>
    <col width="48" customWidth="1" min="4" max="4"/>
    <col width="48" customWidth="1" min="5" max="5"/>
    <col width="12" customWidth="1" min="6" max="6"/>
  </cols>
  <sheetData>
    <row r="1" ht="32" customHeight="1">
      <c r="A1" s="17" t="inlineStr">
        <is>
          <t>新しいタスクが残り、置き換え対象でなくなる条件</t>
        </is>
      </c>
      <c r="B1" s="18" t="n"/>
      <c r="C1" s="18" t="n"/>
      <c r="D1" s="18" t="n"/>
      <c r="E1" s="18" t="n"/>
      <c r="F1" s="18" t="n"/>
    </row>
    <row r="2" ht="34" customHeight="1">
      <c r="A2" s="19" t="inlineStr">
        <is>
          <t>「起動した」と「数えてよい」と「デプロイが完了した」は、三つの別の時刻です。</t>
        </is>
      </c>
      <c r="B2" s="18" t="n"/>
      <c r="C2" s="18" t="n"/>
      <c r="D2" s="18" t="n"/>
      <c r="E2" s="18" t="n"/>
      <c r="F2" s="18" t="n"/>
    </row>
    <row r="3" ht="8" customHeight="1">
      <c r="A3" s="18" t="n"/>
      <c r="B3" s="18" t="n"/>
      <c r="C3" s="18" t="n"/>
      <c r="D3" s="18" t="n"/>
      <c r="E3" s="18" t="n"/>
      <c r="F3" s="18" t="n"/>
    </row>
    <row r="4" ht="32" customHeight="1">
      <c r="A4" s="9" t="inlineStr">
        <is>
          <t>場面</t>
        </is>
      </c>
      <c r="B4" s="9" t="inlineStr">
        <is>
          <t>健全と数える条件</t>
        </is>
      </c>
      <c r="C4" s="9" t="inlineStr">
        <is>
          <t>まだ置き換え対象である状態</t>
        </is>
      </c>
      <c r="D4" s="9" t="inlineStr">
        <is>
          <t>数えた瞬間</t>
        </is>
      </c>
      <c r="E4" s="9" t="inlineStr">
        <is>
          <t>再び対象になるとき</t>
        </is>
      </c>
      <c r="F4" s="9" t="inlineStr">
        <is>
          <t>重要度</t>
        </is>
      </c>
    </row>
    <row r="5" ht="53" customHeight="1">
      <c r="A5" s="22" t="inlineStr">
        <is>
          <t>LB 無し、検査無し</t>
        </is>
      </c>
      <c r="B5" s="23" t="inlineStr">
        <is>
          <t>RUNNING になってから40秒。</t>
        </is>
      </c>
      <c r="C5" s="23" t="inlineStr">
        <is>
          <t>RUNNING から40秒未満。PENDING や ACTIVATING。</t>
        </is>
      </c>
      <c r="D5" s="23" t="inlineStr">
        <is>
          <t>minimumHealthyPercent の分子に入る。古いタスクを、下限を守って止められる。</t>
        </is>
      </c>
      <c r="E5" s="23" t="inlineStr">
        <is>
          <t>プロセス終了、次のデプロイ、スケールイン、AZ 再分散、ドレイン、退役。検査が無いので検査理由では戻らない。</t>
        </is>
      </c>
      <c r="F5" s="23" t="inlineStr">
        <is>
          <t>高</t>
        </is>
      </c>
    </row>
    <row r="6" ht="38" customHeight="1">
      <c r="A6" s="22" t="inlineStr">
        <is>
          <t>LB 無し、検査あり</t>
        </is>
      </c>
      <c r="B6" s="23" t="inlineStr">
        <is>
          <t>参加する必須コンテナがすべて HEALTHY。</t>
        </is>
      </c>
      <c r="C6" s="23" t="inlineStr">
        <is>
          <t>一つでも UNKNOWN または UNHEALTHY。</t>
        </is>
      </c>
      <c r="D6" s="23" t="inlineStr">
        <is>
          <t>40秒ルールは使わない。失敗カウントは、resetOnHealthyTask が true なら 0 に戻る対象になる。</t>
        </is>
      </c>
      <c r="E6" s="23" t="inlineStr">
        <is>
          <t>猶予の外で再び UNHEALTHY。または必須プロセスの終了。</t>
        </is>
      </c>
      <c r="F6" s="23" t="inlineStr">
        <is>
          <t>高</t>
        </is>
      </c>
    </row>
    <row r="7" ht="38" customHeight="1">
      <c r="A7" s="22" t="inlineStr">
        <is>
          <t>LB あり、検査無し</t>
        </is>
      </c>
      <c r="B7" s="23" t="inlineStr">
        <is>
          <t>ターゲットが healthy。新規登録は成功1回。</t>
        </is>
      </c>
      <c r="C7" s="23" t="inlineStr">
        <is>
          <t>initial、unhealthy、unused。</t>
        </is>
      </c>
      <c r="D7" s="23" t="inlineStr">
        <is>
          <t>受付が通った時点で数える。HealthyThresholdCount の5回は待たない。</t>
        </is>
      </c>
      <c r="E7" s="23" t="inlineStr">
        <is>
          <t>猶予の外でターゲットが再び unhealthy。戻るときは連続成功が HealthyThresholdCount だけ要る。</t>
        </is>
      </c>
      <c r="F7" s="23" t="inlineStr">
        <is>
          <t>高</t>
        </is>
      </c>
    </row>
    <row r="8" ht="38" customHeight="1">
      <c r="A8" s="22" t="inlineStr">
        <is>
          <t>LB あり、検査あり</t>
        </is>
      </c>
      <c r="B8" s="23" t="inlineStr">
        <is>
          <t>タスク HEALTHY かつターゲット healthy。両方。</t>
        </is>
      </c>
      <c r="C8" s="23" t="inlineStr">
        <is>
          <t>片方だけ成功。もう片方が UNKNOWN、initial、unhealthy。</t>
        </is>
      </c>
      <c r="D8" s="23" t="inlineStr">
        <is>
          <t>両方が揃った瞬間だけ、古いタスクを止めてよい側へ進む。</t>
        </is>
      </c>
      <c r="E8" s="23" t="inlineStr">
        <is>
          <t>どちらかが猶予の外で再び失敗。コンテナだけ落ちても、ALB だけ落ちても戻る。</t>
        </is>
      </c>
      <c r="F8" s="23" t="inlineStr">
        <is>
          <t>高</t>
        </is>
      </c>
    </row>
    <row r="9" ht="38" customHeight="1">
      <c r="A9" s="22" t="inlineStr">
        <is>
          <t>猶予期間の意味</t>
        </is>
      </c>
      <c r="B9" s="23" t="inlineStr">
        <is>
          <t>猶予が残っていることは、健全の条件ではない。</t>
        </is>
      </c>
      <c r="C9" s="23" t="inlineStr">
        <is>
          <t>失敗しても止めない、という保護が残っているだけ。</t>
        </is>
      </c>
      <c r="D9" s="23" t="inlineStr">
        <is>
          <t>実際の成功が先に来れば、猶予の途中でも健全に数えられる。</t>
        </is>
      </c>
      <c r="E9" s="23" t="inlineStr">
        <is>
          <t>猶予終了時にまだ失敗なら、その時点で交換対象。</t>
        </is>
      </c>
      <c r="F9" s="23" t="inlineStr">
        <is>
          <t>高</t>
        </is>
      </c>
    </row>
    <row r="10" ht="53" customHeight="1">
      <c r="A10" s="22" t="inlineStr">
        <is>
          <t>デプロイ完了</t>
        </is>
      </c>
      <c r="B10" s="23" t="inlineStr">
        <is>
          <t>希望数のうち、規則で必要な健全タスクが新しいリビジョンに揃い、保留が解消。アラームがあれば bake time も終了。</t>
        </is>
      </c>
      <c r="C10" s="23" t="inlineStr">
        <is>
          <t>1個が健全でも、他が PENDING や unhealthy なら IN_PROGRESS のまま。</t>
        </is>
      </c>
      <c r="D10" s="23" t="inlineStr">
        <is>
          <t>rolloutState が COMPLETED。このリビジョンが現行のサービスそのものになる。</t>
        </is>
      </c>
      <c r="E10" s="23" t="inlineStr">
        <is>
          <t>COMPLETED 後の故障はタスク交換であり、デプロイのロールバックではない。</t>
        </is>
      </c>
      <c r="F10" s="23" t="inlineStr">
        <is>
          <t>高</t>
        </is>
      </c>
    </row>
    <row r="11" ht="53" customHeight="1">
      <c r="A11" s="24" t="inlineStr">
        <is>
          <t>early success</t>
        </is>
      </c>
      <c r="B11" s="25" t="inlineStr">
        <is>
          <t>healthyPercent まで新しい側が RUNNING かつ健全。既定の百分率は100で、有効化したときだけ早く終わる。</t>
        </is>
      </c>
      <c r="C11" s="25" t="inlineStr">
        <is>
          <t>百分率に届いていない。</t>
        </is>
      </c>
      <c r="D11" s="25" t="inlineStr">
        <is>
          <t>BLOCKING なら古いタスクを片付けてから完了。DEFERRED なら完了を先に記録し、片付けはデプロイの外。</t>
        </is>
      </c>
      <c r="E11" s="25" t="inlineStr">
        <is>
          <t>完了した瞬間に、ブレーカーとアラームのロールバックは止まる。</t>
        </is>
      </c>
      <c r="F11" s="25" t="inlineStr">
        <is>
          <t>中</t>
        </is>
      </c>
    </row>
    <row r="12" ht="38" customHeight="1">
      <c r="A12" s="22" t="inlineStr">
        <is>
          <t>置換ファーストの古いタスク</t>
        </is>
      </c>
      <c r="B12" s="23" t="inlineStr">
        <is>
          <t>新しいタスクが上の条件を満たすまで、古いタスクは本番に残る。</t>
        </is>
      </c>
      <c r="C12" s="23" t="inlineStr">
        <is>
          <t>新しいタスクが ACTIVATING や initial のあいだ、古いタスクはまだ交換の完了前。</t>
        </is>
      </c>
      <c r="D12" s="23" t="inlineStr">
        <is>
          <t>新しい側を数えたあと、古い側が DEACTIVATING と draining に入る。</t>
        </is>
      </c>
      <c r="E12" s="23" t="inlineStr">
        <is>
          <t>排出中も既存接続は残り得る。既定最大300秒。</t>
        </is>
      </c>
      <c r="F12" s="23" t="inlineStr">
        <is>
          <t>高</t>
        </is>
      </c>
    </row>
    <row r="13" ht="38" customHeight="1">
      <c r="A13" s="22" t="inlineStr">
        <is>
          <t>desired 1 の無停止</t>
        </is>
      </c>
      <c r="B13" s="23" t="inlineStr">
        <is>
          <t>maximumPercent 200、minimumHealthyPercent 100。上限2、下限1。</t>
        </is>
      </c>
      <c r="C13" s="23" t="inlineStr">
        <is>
          <t>両方が100だと上限1、下限1で、隣に起動も、先に停止もできない。</t>
        </is>
      </c>
      <c r="D13" s="23" t="inlineStr">
        <is>
          <t>新しい1個が健全になってから、古い1個を止める。</t>
        </is>
      </c>
      <c r="E13" s="23" t="inlineStr">
        <is>
          <t>新しい1個が健全にならないと、古い1個が残り、デプロイは IN_PROGRESS。失敗が3でブレーカー。</t>
        </is>
      </c>
      <c r="F13" s="23" t="inlineStr">
        <is>
          <t>高</t>
        </is>
      </c>
    </row>
    <row r="14" ht="53" customHeight="1">
      <c r="A14" s="22" t="inlineStr">
        <is>
          <t>健全の定義と RUNNING</t>
        </is>
      </c>
      <c r="B14" s="23" t="inlineStr">
        <is>
          <t>resetOnHealthyTask の「健全」は、RUNNING 到達だけとは分ける。</t>
        </is>
      </c>
      <c r="C14" s="23" t="inlineStr">
        <is>
          <t>RUNNING だが検査が UNKNOWN、という状態は第2段階の途中。</t>
        </is>
      </c>
      <c r="D14" s="23" t="inlineStr">
        <is>
          <t>第1段階を抜けるのは RUNNING が1つ以上できたとき。カウントを戻すのは、そのサービスが健全と数える状態。</t>
        </is>
      </c>
      <c r="E14" s="23" t="inlineStr">
        <is>
          <t>ドキュメントは、RUNNING だけでは第2段階の失敗カウントが戻る、とは書いていない。</t>
        </is>
      </c>
      <c r="F14" s="23" t="inlineStr">
        <is>
          <t>高</t>
        </is>
      </c>
    </row>
  </sheetData>
  <autoFilter ref="A4:F14"/>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10_新タスクが残る</oddHeader>
    <oddFooter>&amp;L&amp;"Meiryo UI"&amp;8 調査基準日 2026-10-02  公式ドキュメントに基づく解説  モノトーン / Meiryo UI&amp;R&amp;"Meiryo UI"&amp;8 &amp;P / &amp;N</oddFooter>
    <evenHeader/>
    <evenFooter/>
    <firstHeader/>
    <firstFooter/>
  </headerFooter>
</worksheet>
</file>

<file path=xl/worksheets/sheet12.xml><?xml version="1.0" encoding="utf-8"?>
<worksheet xmlns="http://schemas.openxmlformats.org/spreadsheetml/2006/main">
  <sheetPr>
    <tabColor rgb="004A4A4A"/>
    <outlinePr summaryBelow="1" summaryRight="1"/>
    <pageSetUpPr fitToPage="1"/>
  </sheetPr>
  <dimension ref="A1:I15"/>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24" customWidth="1" min="1" max="1"/>
    <col width="16" customWidth="1" min="2" max="2"/>
    <col width="14" customWidth="1" min="3" max="3"/>
    <col width="12" customWidth="1" min="4" max="4"/>
    <col width="14" customWidth="1" min="5" max="5"/>
    <col width="16" customWidth="1" min="6" max="6"/>
    <col width="16" customWidth="1" min="7" max="7"/>
    <col width="62" customWidth="1" min="8" max="8"/>
    <col width="12" customWidth="1" min="9" max="9"/>
  </cols>
  <sheetData>
    <row r="1" ht="32" customHeight="1">
      <c r="A1" s="17" t="inlineStr">
        <is>
          <t>デプロイ中の人数</t>
        </is>
      </c>
      <c r="B1" s="18" t="n"/>
      <c r="C1" s="18" t="n"/>
      <c r="D1" s="18" t="n"/>
      <c r="E1" s="18" t="n"/>
      <c r="F1" s="18" t="n"/>
      <c r="G1" s="18" t="n"/>
      <c r="H1" s="18" t="n"/>
      <c r="I1" s="18" t="n"/>
    </row>
    <row r="2" ht="34" customHeight="1">
      <c r="A2" s="19" t="inlineStr">
        <is>
          <t>下限は切り上げ、上限は切り捨てです。先に足せる枠は、上限台数から desired を引いた数です。</t>
        </is>
      </c>
      <c r="B2" s="18" t="n"/>
      <c r="C2" s="18" t="n"/>
      <c r="D2" s="18" t="n"/>
      <c r="E2" s="18" t="n"/>
      <c r="F2" s="18" t="n"/>
      <c r="G2" s="18" t="n"/>
      <c r="H2" s="18" t="n"/>
      <c r="I2" s="18" t="n"/>
    </row>
    <row r="3" ht="8" customHeight="1">
      <c r="A3" s="18" t="n"/>
      <c r="B3" s="18" t="n"/>
      <c r="C3" s="18" t="n"/>
      <c r="D3" s="18" t="n"/>
      <c r="E3" s="18" t="n"/>
      <c r="F3" s="18" t="n"/>
      <c r="G3" s="18" t="n"/>
      <c r="H3" s="18" t="n"/>
      <c r="I3" s="18" t="n"/>
    </row>
    <row r="4" ht="32" customHeight="1">
      <c r="A4" s="9" t="inlineStr">
        <is>
          <t>例</t>
        </is>
      </c>
      <c r="B4" s="9" t="inlineStr">
        <is>
          <t>desired</t>
        </is>
      </c>
      <c r="C4" s="9" t="inlineStr">
        <is>
          <t>min%</t>
        </is>
      </c>
      <c r="D4" s="9" t="inlineStr">
        <is>
          <t>max%</t>
        </is>
      </c>
      <c r="E4" s="9" t="inlineStr">
        <is>
          <t>下限台数</t>
        </is>
      </c>
      <c r="F4" s="9" t="inlineStr">
        <is>
          <t>上限台数</t>
        </is>
      </c>
      <c r="G4" s="9" t="inlineStr">
        <is>
          <t>先に足せる枠</t>
        </is>
      </c>
      <c r="H4" s="9" t="inlineStr">
        <is>
          <t>結果</t>
        </is>
      </c>
      <c r="I4" s="9" t="inlineStr">
        <is>
          <t>重要度</t>
        </is>
      </c>
    </row>
    <row r="5" ht="38" customHeight="1">
      <c r="A5" s="22" t="inlineStr">
        <is>
          <t>無停止の標準</t>
        </is>
      </c>
      <c r="B5" s="23" t="n">
        <v>4</v>
      </c>
      <c r="C5" s="23" t="n">
        <v>100</v>
      </c>
      <c r="D5" s="23" t="n">
        <v>200</v>
      </c>
      <c r="E5" s="23" t="n">
        <v>4</v>
      </c>
      <c r="F5" s="23" t="n">
        <v>8</v>
      </c>
      <c r="G5" s="23" t="n">
        <v>4</v>
      </c>
      <c r="H5" s="23" t="inlineStr">
        <is>
          <t>古い4を残し、新しい4を起動できる。新しい側が健全になってから古い側を止める。</t>
        </is>
      </c>
      <c r="I5" s="23" t="inlineStr">
        <is>
          <t>高</t>
        </is>
      </c>
    </row>
    <row r="6" ht="38" customHeight="1">
      <c r="A6" s="22" t="inlineStr">
        <is>
          <t>容量を増やさない</t>
        </is>
      </c>
      <c r="B6" s="23" t="n">
        <v>4</v>
      </c>
      <c r="C6" s="23" t="n">
        <v>50</v>
      </c>
      <c r="D6" s="23" t="n">
        <v>100</v>
      </c>
      <c r="E6" s="23" t="n">
        <v>2</v>
      </c>
      <c r="F6" s="23" t="n">
        <v>4</v>
      </c>
      <c r="G6" s="23" t="n">
        <v>0</v>
      </c>
      <c r="H6" s="23" t="inlineStr">
        <is>
          <t>先に2つまで止めて容量を空け、新しいタスクを起動する。その間、処理能力は半分まで落ち得る。</t>
        </is>
      </c>
      <c r="I6" s="23" t="inlineStr">
        <is>
          <t>高</t>
        </is>
      </c>
    </row>
    <row r="7" ht="23" customHeight="1">
      <c r="A7" s="22" t="inlineStr">
        <is>
          <t>1台を無停止</t>
        </is>
      </c>
      <c r="B7" s="23" t="n">
        <v>1</v>
      </c>
      <c r="C7" s="23" t="n">
        <v>100</v>
      </c>
      <c r="D7" s="23" t="n">
        <v>200</v>
      </c>
      <c r="E7" s="23" t="n">
        <v>1</v>
      </c>
      <c r="F7" s="23" t="n">
        <v>2</v>
      </c>
      <c r="G7" s="23" t="n">
        <v>1</v>
      </c>
      <c r="H7" s="23" t="inlineStr">
        <is>
          <t>隣に1個起動し、健全化後に古い1個を止める。単一タスクの定番。</t>
        </is>
      </c>
      <c r="I7" s="23" t="inlineStr">
        <is>
          <t>高</t>
        </is>
      </c>
    </row>
    <row r="8" ht="38" customHeight="1">
      <c r="A8" s="22" t="inlineStr">
        <is>
          <t>1台で両方が100</t>
        </is>
      </c>
      <c r="B8" s="23" t="n">
        <v>1</v>
      </c>
      <c r="C8" s="23" t="n">
        <v>100</v>
      </c>
      <c r="D8" s="23" t="n">
        <v>100</v>
      </c>
      <c r="E8" s="23" t="n">
        <v>1</v>
      </c>
      <c r="F8" s="23" t="n">
        <v>1</v>
      </c>
      <c r="G8" s="23" t="n">
        <v>0</v>
      </c>
      <c r="H8" s="23" t="inlineStr">
        <is>
          <t>余分に起動できず、唯一のタスクも下限で止めにくい。ローリングが前に進みにくい。</t>
        </is>
      </c>
      <c r="I8" s="23" t="inlineStr">
        <is>
          <t>高</t>
        </is>
      </c>
    </row>
    <row r="9" ht="23" customHeight="1">
      <c r="A9" s="24" t="inlineStr">
        <is>
          <t>1台を止めてから起動</t>
        </is>
      </c>
      <c r="B9" s="25" t="n">
        <v>1</v>
      </c>
      <c r="C9" s="25" t="n">
        <v>0</v>
      </c>
      <c r="D9" s="25" t="n">
        <v>100</v>
      </c>
      <c r="E9" s="25" t="n">
        <v>0</v>
      </c>
      <c r="F9" s="25" t="n">
        <v>1</v>
      </c>
      <c r="G9" s="25" t="n">
        <v>0</v>
      </c>
      <c r="H9" s="25" t="inlineStr">
        <is>
          <t>短い停止を許容する。先に止めてから起動する。</t>
        </is>
      </c>
      <c r="I9" s="25" t="inlineStr">
        <is>
          <t>中</t>
        </is>
      </c>
    </row>
    <row r="10" ht="38" customHeight="1">
      <c r="A10" s="24" t="inlineStr">
        <is>
          <t>大きめの波</t>
        </is>
      </c>
      <c r="B10" s="25" t="n">
        <v>10</v>
      </c>
      <c r="C10" s="25" t="n">
        <v>100</v>
      </c>
      <c r="D10" s="25" t="n">
        <v>200</v>
      </c>
      <c r="E10" s="25" t="n">
        <v>10</v>
      </c>
      <c r="F10" s="25" t="n">
        <v>20</v>
      </c>
      <c r="G10" s="25" t="n">
        <v>10</v>
      </c>
      <c r="H10" s="25" t="inlineStr">
        <is>
          <t>倍のタスクが同時に走る。CPU、メモリ、接続数、イメージ取得のバーストを見込む。</t>
        </is>
      </c>
      <c r="I10" s="25" t="inlineStr">
        <is>
          <t>中</t>
        </is>
      </c>
    </row>
    <row r="11" ht="38" customHeight="1">
      <c r="A11" s="22" t="inlineStr">
        <is>
          <t>端数の切り上げと切り捨て</t>
        </is>
      </c>
      <c r="B11" s="23" t="n">
        <v>3</v>
      </c>
      <c r="C11" s="23" t="n">
        <v>50</v>
      </c>
      <c r="D11" s="23" t="n">
        <v>200</v>
      </c>
      <c r="E11" s="23" t="n">
        <v>2</v>
      </c>
      <c r="F11" s="23" t="n">
        <v>6</v>
      </c>
      <c r="G11" s="23" t="n">
        <v>3</v>
      </c>
      <c r="H11" s="23" t="inlineStr">
        <is>
          <t>下限は ceil(1.5)=2。上限は floor(6)=6。百分率をそのまま台数と思わない。</t>
        </is>
      </c>
      <c r="I11" s="23" t="inlineStr">
        <is>
          <t>高</t>
        </is>
      </c>
    </row>
    <row r="12" ht="38" customHeight="1">
      <c r="A12" s="24" t="inlineStr">
        <is>
          <t>DAEMON の API 既定</t>
        </is>
      </c>
      <c r="B12" s="25" t="inlineStr">
        <is>
          <t>インスタンス数</t>
        </is>
      </c>
      <c r="C12" s="25" t="n">
        <v>0</v>
      </c>
      <c r="D12" s="25" t="n">
        <v>100</v>
      </c>
      <c r="E12" s="25" t="inlineStr">
        <is>
          <t>—</t>
        </is>
      </c>
      <c r="F12" s="25" t="inlineStr">
        <is>
          <t>インスタンスあたり1が基本</t>
        </is>
      </c>
      <c r="G12" s="25" t="inlineStr">
        <is>
          <t>—</t>
        </is>
      </c>
      <c r="H12" s="25" t="inlineStr">
        <is>
          <t>インスタンス上で入れ替える。maximumPercent は100のままにする、とドキュメントが言う。</t>
        </is>
      </c>
      <c r="I12" s="25" t="inlineStr">
        <is>
          <t>中</t>
        </is>
      </c>
    </row>
    <row r="13" ht="23" customHeight="1">
      <c r="A13" s="22" t="inlineStr">
        <is>
          <t>DAEMON のコンソール既定</t>
        </is>
      </c>
      <c r="B13" s="23" t="inlineStr">
        <is>
          <t>インスタンス数</t>
        </is>
      </c>
      <c r="C13" s="23" t="n">
        <v>50</v>
      </c>
      <c r="D13" s="23" t="n">
        <v>100</v>
      </c>
      <c r="E13" s="23" t="inlineStr">
        <is>
          <t>—</t>
        </is>
      </c>
      <c r="F13" s="23" t="inlineStr">
        <is>
          <t>—</t>
        </is>
      </c>
      <c r="G13" s="23" t="inlineStr">
        <is>
          <t>—</t>
        </is>
      </c>
      <c r="H13" s="23" t="inlineStr">
        <is>
          <t>同じ DAEMON でも、コンソール作成の下限既定は50。API の0と違う。</t>
        </is>
      </c>
      <c r="I13" s="23" t="inlineStr">
        <is>
          <t>高</t>
        </is>
      </c>
    </row>
    <row r="14" ht="38" customHeight="1">
      <c r="A14" s="22" t="inlineStr">
        <is>
          <t>枠はあっても置けない</t>
        </is>
      </c>
      <c r="B14" s="23" t="n">
        <v>4</v>
      </c>
      <c r="C14" s="23" t="n">
        <v>100</v>
      </c>
      <c r="D14" s="23" t="n">
        <v>200</v>
      </c>
      <c r="E14" s="23" t="n">
        <v>4</v>
      </c>
      <c r="F14" s="23" t="n">
        <v>8</v>
      </c>
      <c r="G14" s="23" t="n">
        <v>4</v>
      </c>
      <c r="H14" s="23" t="inlineStr">
        <is>
          <t>クラスタの CPU やメモリが無ければ、新しいタスクは PENDING。置換ファーストは実行されない。</t>
        </is>
      </c>
      <c r="I14" s="23" t="inlineStr">
        <is>
          <t>高</t>
        </is>
      </c>
    </row>
    <row r="15" ht="53" customHeight="1">
      <c r="A15" s="24" t="inlineStr">
        <is>
          <t>CODE_DEPLOY / EXTERNAL</t>
        </is>
      </c>
      <c r="B15" s="25" t="inlineStr">
        <is>
          <t>—</t>
        </is>
      </c>
      <c r="C15" s="25" t="inlineStr">
        <is>
          <t>独自指定が制限される</t>
        </is>
      </c>
      <c r="D15" s="25" t="inlineStr">
        <is>
          <t>既定値が使われる</t>
        </is>
      </c>
      <c r="E15" s="25" t="inlineStr">
        <is>
          <t>—</t>
        </is>
      </c>
      <c r="F15" s="25" t="inlineStr">
        <is>
          <t>—</t>
        </is>
      </c>
      <c r="G15" s="25" t="inlineStr">
        <is>
          <t>—</t>
        </is>
      </c>
      <c r="H15" s="25" t="inlineStr">
        <is>
          <t>EC2 ではドレイン中の RUNNING 下限・上限として既定値が使われ、独自の maximumPercent を指定できない。Fargate では計算に使われないが、説明APIには値が残る。</t>
        </is>
      </c>
      <c r="I15" s="25" t="inlineStr">
        <is>
          <t>中</t>
        </is>
      </c>
    </row>
  </sheetData>
  <autoFilter ref="A4:I15"/>
  <mergeCells count="2">
    <mergeCell ref="A1:I1"/>
    <mergeCell ref="A2:I2"/>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11_人数制限</oddHeader>
    <oddFooter>&amp;L&amp;"Meiryo UI"&amp;8 調査基準日 2026-10-02  公式ドキュメントに基づく解説  モノトーン / Meiryo UI&amp;R&amp;"Meiryo UI"&amp;8 &amp;P / &amp;N</oddFooter>
    <evenHeader/>
    <evenFooter/>
    <firstHeader/>
    <firstFooter/>
  </headerFooter>
</worksheet>
</file>

<file path=xl/worksheets/sheet13.xml><?xml version="1.0" encoding="utf-8"?>
<worksheet xmlns="http://schemas.openxmlformats.org/spreadsheetml/2006/main">
  <sheetPr>
    <tabColor rgb="004A4A4A"/>
    <outlinePr summaryBelow="1" summaryRight="1"/>
    <pageSetUpPr fitToPage="1"/>
  </sheetPr>
  <dimension ref="A1:E24"/>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28" customWidth="1" min="1" max="1"/>
    <col width="32" customWidth="1" min="2" max="2"/>
    <col width="70" customWidth="1" min="3" max="3"/>
    <col width="55" customWidth="1" min="4" max="4"/>
    <col width="12" customWidth="1" min="5" max="5"/>
  </cols>
  <sheetData>
    <row r="1" ht="32" customHeight="1">
      <c r="A1" s="17" t="inlineStr">
        <is>
          <t>サーキットブレーカー</t>
        </is>
      </c>
      <c r="B1" s="18" t="n"/>
      <c r="C1" s="18" t="n"/>
      <c r="D1" s="18" t="n"/>
      <c r="E1" s="18" t="n"/>
    </row>
    <row r="2" ht="34" customHeight="1">
      <c r="A2" s="19" t="inlineStr">
        <is>
          <t>1タスクの交換係ではありません。進行中の献立を、失敗回数で中止する配電盤です。</t>
        </is>
      </c>
      <c r="B2" s="18" t="n"/>
      <c r="C2" s="18" t="n"/>
      <c r="D2" s="18" t="n"/>
      <c r="E2" s="18" t="n"/>
    </row>
    <row r="3" ht="8" customHeight="1">
      <c r="A3" s="18" t="n"/>
      <c r="B3" s="18" t="n"/>
      <c r="C3" s="18" t="n"/>
      <c r="D3" s="18" t="n"/>
      <c r="E3" s="18" t="n"/>
    </row>
    <row r="4" ht="32" customHeight="1">
      <c r="A4" s="9" t="inlineStr">
        <is>
          <t>項目</t>
        </is>
      </c>
      <c r="B4" s="9" t="inlineStr">
        <is>
          <t>現行の既定</t>
        </is>
      </c>
      <c r="C4" s="9" t="inlineStr">
        <is>
          <t>動作</t>
        </is>
      </c>
      <c r="D4" s="9" t="inlineStr">
        <is>
          <t>歴史上の変化</t>
        </is>
      </c>
      <c r="E4" s="9" t="inlineStr">
        <is>
          <t>重要度</t>
        </is>
      </c>
    </row>
    <row r="5" ht="38" customHeight="1">
      <c r="A5" s="22" t="inlineStr">
        <is>
          <t>enable</t>
        </is>
      </c>
      <c r="B5" s="23" t="inlineStr">
        <is>
          <t>使うなら true を明示</t>
        </is>
      </c>
      <c r="C5" s="23" t="inlineStr">
        <is>
          <t>進行中デプロイが定常状態へ到達できるかを見る。false のとき、失敗デプロイは完了できないまま再試行が続き得る。</t>
        </is>
      </c>
      <c r="D5" s="23" t="inlineStr">
        <is>
          <t>一般提供は 2020-12-22。ブログ発表は 2020-11-30。</t>
        </is>
      </c>
      <c r="E5" s="23" t="inlineStr">
        <is>
          <t>高</t>
        </is>
      </c>
    </row>
    <row r="6" ht="53" customHeight="1">
      <c r="A6" s="22" t="inlineStr">
        <is>
          <t>rollback</t>
        </is>
      </c>
      <c r="B6" s="23" t="inlineStr">
        <is>
          <t>enable とは独立</t>
        </is>
      </c>
      <c r="C6" s="23" t="inlineStr">
        <is>
          <t>FAILED のあと、最後の COMPLETED を IN_PROGRESS に戻す。COMPLETED が無ければ起動を止めたまま滞留する。戻しデプロイは、再完了まで次のロールバック対象にならない。</t>
        </is>
      </c>
      <c r="D6" s="23" t="inlineStr">
        <is>
          <t>発表時から、検知とロールバックはセットで説明されているが、API 上は別ブール。</t>
        </is>
      </c>
      <c r="E6" s="23" t="inlineStr">
        <is>
          <t>高</t>
        </is>
      </c>
    </row>
    <row r="7" ht="53" customHeight="1">
      <c r="A7" s="22" t="inlineStr">
        <is>
          <t>第1段階</t>
        </is>
      </c>
      <c r="B7" s="23" t="inlineStr">
        <is>
          <t>RUNNING へ到達しない失敗</t>
        </is>
      </c>
      <c r="C7" s="23" t="inlineStr">
        <is>
          <t>イメージ取得失敗、容量不足、即時クラッシュ。一つも RUNNING にならないまま閾値で FAILED。1つでも RUNNING なら第2段階へ進み、第1段階の失敗条件はスキップする、とガイドが説明する。</t>
        </is>
      </c>
      <c r="D7" s="23" t="inlineStr">
        <is>
          <t>2020年の説明は、健全な RUNNING に到達しない起動失敗が中心だった。</t>
        </is>
      </c>
      <c r="E7" s="23" t="inlineStr">
        <is>
          <t>高</t>
        </is>
      </c>
    </row>
    <row r="8" ht="38" customHeight="1">
      <c r="A8" s="22" t="inlineStr">
        <is>
          <t>第2段階</t>
        </is>
      </c>
      <c r="B8" s="23" t="inlineStr">
        <is>
          <t>検査失敗による交換</t>
        </is>
      </c>
      <c r="C8" s="23" t="inlineStr">
        <is>
          <t>見るものは ELB、Cloud Map、コンテナヘルスチェック。交換のたびに失敗カウントが1増える。</t>
        </is>
      </c>
      <c r="D8" s="23" t="inlineStr">
        <is>
          <t>ロードバランサー検査の失敗も、起動失敗と同じカウンタへ入る。</t>
        </is>
      </c>
      <c r="E8" s="23" t="inlineStr">
        <is>
          <t>高</t>
        </is>
      </c>
    </row>
    <row r="9" ht="38" customHeight="1">
      <c r="A9" s="22" t="inlineStr">
        <is>
          <t>resetOnHealthyTask</t>
        </is>
      </c>
      <c r="B9" s="23" t="inlineStr">
        <is>
          <t>true</t>
        </is>
      </c>
      <c r="C9" s="23" t="inlineStr">
        <is>
          <t>健全なタスクでカウントを0へ戻す。連続失敗だけが閾値へ届く。false はデプロイ全体で累積し、途中の成功でも戻さない。</t>
        </is>
      </c>
      <c r="D9" s="23" t="inlineStr">
        <is>
          <t>2026-07-01 追加。それ以前は true の動作だけ。</t>
        </is>
      </c>
      <c r="E9" s="23" t="inlineStr">
        <is>
          <t>高</t>
        </is>
      </c>
    </row>
    <row r="10" ht="38" customHeight="1">
      <c r="A10" s="22" t="inlineStr">
        <is>
          <t>BOUNDED_PERCENT</t>
        </is>
      </c>
      <c r="B10" s="23" t="inlineStr">
        <is>
          <t>type の既定。value 50</t>
        </is>
      </c>
      <c r="C10" s="23" t="inlineStr">
        <is>
          <t>ceil(desired × value / 100) を、3未満なら3、200超なら200。</t>
        </is>
      </c>
      <c r="D10" s="23" t="inlineStr">
        <is>
          <t>2024-01-08 に下限が10から3へ。2026-07-01 にタイプ選択が入り、この動作が既定として残った。</t>
        </is>
      </c>
      <c r="E10" s="23" t="inlineStr">
        <is>
          <t>高</t>
        </is>
      </c>
    </row>
    <row r="11" ht="38" customHeight="1">
      <c r="A11" s="22" t="inlineStr">
        <is>
          <t>desired 1 の閾値</t>
        </is>
      </c>
      <c r="B11" s="23" t="inlineStr">
        <is>
          <t>3</t>
        </is>
      </c>
      <c r="C11" s="23" t="inlineStr">
        <is>
          <t>0.5×1=0.5 は下限3へ切り上がる。悪いデプロイでも失敗タスクが3個出てから FAILED。</t>
        </is>
      </c>
      <c r="D11" s="23" t="inlineStr">
        <is>
          <t>2024-01-07 までは下限10だった。</t>
        </is>
      </c>
      <c r="E11" s="23" t="inlineStr">
        <is>
          <t>高</t>
        </is>
      </c>
    </row>
    <row r="12" ht="23" customHeight="1">
      <c r="A12" s="24" t="inlineStr">
        <is>
          <t>desired 6</t>
        </is>
      </c>
      <c r="B12" s="25" t="inlineStr">
        <is>
          <t>3</t>
        </is>
      </c>
      <c r="C12" s="25" t="inlineStr">
        <is>
          <t>0.5×6=3。ちょうど下限。</t>
        </is>
      </c>
      <c r="D12" s="25" t="inlineStr">
        <is>
          <t>下限が10の時代は、desired 19 以下がほぼ10だった。</t>
        </is>
      </c>
      <c r="E12" s="25" t="inlineStr">
        <is>
          <t>中</t>
        </is>
      </c>
    </row>
    <row r="13" ht="23" customHeight="1">
      <c r="A13" s="22" t="inlineStr">
        <is>
          <t>desired 7</t>
        </is>
      </c>
      <c r="B13" s="23" t="inlineStr">
        <is>
          <t>4</t>
        </is>
      </c>
      <c r="C13" s="23" t="inlineStr">
        <is>
          <t>3.5 を切り上げて4。</t>
        </is>
      </c>
      <c r="D13" s="23" t="inlineStr">
        <is>
          <t>公式の丸めは切り上げ。25なら12.5で13。</t>
        </is>
      </c>
      <c r="E13" s="23" t="inlineStr">
        <is>
          <t>高</t>
        </is>
      </c>
    </row>
    <row r="14" ht="23" customHeight="1">
      <c r="A14" s="24" t="inlineStr">
        <is>
          <t>desired 25</t>
        </is>
      </c>
      <c r="B14" s="25" t="inlineStr">
        <is>
          <t>13</t>
        </is>
      </c>
      <c r="C14" s="25" t="inlineStr">
        <is>
          <t>公式の例。</t>
        </is>
      </c>
      <c r="D14" s="25" t="inlineStr">
        <is>
          <t>—</t>
        </is>
      </c>
      <c r="E14" s="25" t="inlineStr">
        <is>
          <t>中</t>
        </is>
      </c>
    </row>
    <row r="15" ht="23" customHeight="1">
      <c r="A15" s="22" t="inlineStr">
        <is>
          <t>desired 400 と 800</t>
        </is>
      </c>
      <c r="B15" s="23" t="inlineStr">
        <is>
          <t>どちらも 200</t>
        </is>
      </c>
      <c r="C15" s="23" t="inlineStr">
        <is>
          <t>400はちょうど上限。800の50%は400だが、BOUNDED は200で頭打ち。</t>
        </is>
      </c>
      <c r="D15" s="23" t="inlineStr">
        <is>
          <t>大きいサービスで50%まで待ちたいなら UNBOUNDED_PERCENT。</t>
        </is>
      </c>
      <c r="E15" s="23" t="inlineStr">
        <is>
          <t>高</t>
        </is>
      </c>
    </row>
    <row r="16" ht="38" customHeight="1">
      <c r="A16" s="22" t="inlineStr">
        <is>
          <t>UNBOUNDED_PERCENT</t>
        </is>
      </c>
      <c r="B16" s="23" t="inlineStr">
        <is>
          <t>既定ではない</t>
        </is>
      </c>
      <c r="C16" s="23" t="inlineStr">
        <is>
          <t>同じ切り上げで、下限も上限も無い。desired 800、value 50 なら400。desired 1、value 50 なら1。</t>
        </is>
      </c>
      <c r="D16" s="23" t="inlineStr">
        <is>
          <t>2026-07-01 追加。</t>
        </is>
      </c>
      <c r="E16" s="23" t="inlineStr">
        <is>
          <t>高</t>
        </is>
      </c>
    </row>
    <row r="17" ht="38" customHeight="1">
      <c r="A17" s="22" t="inlineStr">
        <is>
          <t>COUNT</t>
        </is>
      </c>
      <c r="B17" s="23" t="inlineStr">
        <is>
          <t>既定ではない</t>
        </is>
      </c>
      <c r="C17" s="23" t="inlineStr">
        <is>
          <t>value がそのまま失敗回数。desired がオートスケールで変わっても閾値は固定。</t>
        </is>
      </c>
      <c r="D17" s="23" t="inlineStr">
        <is>
          <t>開発環境で1や2にすると、既定の3より早く戻せる。</t>
        </is>
      </c>
      <c r="E17" s="23" t="inlineStr">
        <is>
          <t>高</t>
        </is>
      </c>
    </row>
    <row r="18" ht="38" customHeight="1">
      <c r="A18" s="24" t="inlineStr">
        <is>
          <t>計算に使う desired</t>
        </is>
      </c>
      <c r="B18" s="25" t="inlineStr">
        <is>
          <t>最新値</t>
        </is>
      </c>
      <c r="C18" s="25" t="inlineStr">
        <is>
          <t>デプロイ中にオートスケールで desired が変わると、百分率閾値も変わる。COUNT は変わらない。</t>
        </is>
      </c>
      <c r="D18" s="25" t="inlineStr">
        <is>
          <t>—</t>
        </is>
      </c>
      <c r="E18" s="25" t="inlineStr">
        <is>
          <t>中</t>
        </is>
      </c>
    </row>
    <row r="19" ht="23" customHeight="1">
      <c r="A19" s="22" t="inlineStr">
        <is>
          <t>rolloutState</t>
        </is>
      </c>
      <c r="B19" s="23" t="inlineStr">
        <is>
          <t>IN_PROGRESS から開始</t>
        </is>
      </c>
      <c r="C19" s="23" t="inlineStr">
        <is>
          <t>定常で COMPLETED。失敗で FAILED。FAILED は新しいタスクを起動しない。</t>
        </is>
      </c>
      <c r="D19" s="23" t="inlineStr">
        <is>
          <t>2020年の発表で API に追加。</t>
        </is>
      </c>
      <c r="E19" s="23" t="inlineStr">
        <is>
          <t>高</t>
        </is>
      </c>
    </row>
    <row r="20" ht="23" customHeight="1">
      <c r="A20" s="24" t="inlineStr">
        <is>
          <t>ブレーカーの状態</t>
        </is>
      </c>
      <c r="B20" s="25" t="inlineStr">
        <is>
          <t>DISABLED なら未使用</t>
        </is>
      </c>
      <c r="C20" s="25" t="inlineStr">
        <is>
          <t>TRIGGERED、MONITORING、MONITORING_COMPLETE、DISABLED。</t>
        </is>
      </c>
      <c r="D20" s="25" t="inlineStr">
        <is>
          <t>アラーム側も同じ状態名を持つ。</t>
        </is>
      </c>
      <c r="E20" s="25" t="inlineStr">
        <is>
          <t>中</t>
        </is>
      </c>
    </row>
    <row r="21" ht="38" customHeight="1">
      <c r="A21" s="24" t="inlineStr">
        <is>
          <t>イベント</t>
        </is>
      </c>
      <c r="B21" s="25" t="inlineStr">
        <is>
          <t>EventBridge</t>
        </is>
      </c>
      <c r="C21" s="25" t="inlineStr">
        <is>
          <t>SERVICE_DEPLOYMENT_FAILED の監視が公式の推奨。ロールバック開始は reason に戻しであることが出る。</t>
        </is>
      </c>
      <c r="D21" s="25" t="inlineStr">
        <is>
          <t>—</t>
        </is>
      </c>
      <c r="E21" s="25" t="inlineStr">
        <is>
          <t>中</t>
        </is>
      </c>
    </row>
    <row r="22" ht="53" customHeight="1">
      <c r="A22" s="22" t="inlineStr">
        <is>
          <t>コントローラの読み分け</t>
        </is>
      </c>
      <c r="B22" s="23" t="inlineStr">
        <is>
          <t>ガイドはローリングと blue/green</t>
        </is>
      </c>
      <c r="C22" s="23" t="inlineStr">
        <is>
          <t>2026-10-01 の失敗検知のページは、ブレーカーとアラームの両方がローリングと blue/green をサポートする、と書く。API の注記にはローリング（ECS）向け、という文も残る。</t>
        </is>
      </c>
      <c r="D22" s="23" t="inlineStr">
        <is>
          <t>2025-07-17 のネイティブ blue/green は ECS コントローラの戦略。CODE_DEPLOY コントローラは CodeDeploy 側の失敗処理。</t>
        </is>
      </c>
      <c r="E22" s="23" t="inlineStr">
        <is>
          <t>高</t>
        </is>
      </c>
    </row>
    <row r="23" ht="38" customHeight="1">
      <c r="A23" s="22" t="inlineStr">
        <is>
          <t>完了後</t>
        </is>
      </c>
      <c r="B23" s="23" t="inlineStr">
        <is>
          <t>監視の役割が終わる</t>
        </is>
      </c>
      <c r="C23" s="23" t="inlineStr">
        <is>
          <t>翌日に1タスクが不健康でも、完了済みデプロイはロールバックしない。スケジューラがその1タスクを交換する。</t>
        </is>
      </c>
      <c r="D23" s="23" t="inlineStr">
        <is>
          <t>early success で早く完了させると、自動で戻せる時間も短い。</t>
        </is>
      </c>
      <c r="E23" s="23" t="inlineStr">
        <is>
          <t>高</t>
        </is>
      </c>
    </row>
    <row r="24" ht="38" customHeight="1">
      <c r="A24" s="24" t="inlineStr">
        <is>
          <t>人数制限との関係</t>
        </is>
      </c>
      <c r="B24" s="25" t="inlineStr">
        <is>
          <t>戻しも同じ枠</t>
        </is>
      </c>
      <c r="C24" s="25" t="inlineStr">
        <is>
          <t>ロールバックは minimumHealthyPercent と maximumPercent を守ってタスクを戻す。</t>
        </is>
      </c>
      <c r="D24" s="25" t="inlineStr">
        <is>
          <t>—</t>
        </is>
      </c>
      <c r="E24" s="25" t="inlineStr">
        <is>
          <t>中</t>
        </is>
      </c>
    </row>
  </sheetData>
  <autoFilter ref="A4:E24"/>
  <mergeCells count="2">
    <mergeCell ref="A2:E2"/>
    <mergeCell ref="A1:E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12_サーキットブレーカー</oddHeader>
    <oddFooter>&amp;L&amp;"Meiryo UI"&amp;8 調査基準日 2026-10-02  公式ドキュメントに基づく解説  モノトーン / Meiryo UI&amp;R&amp;"Meiryo UI"&amp;8 &amp;P / &amp;N</oddFooter>
    <evenHeader/>
    <evenFooter/>
    <firstHeader/>
    <firstFooter/>
  </headerFooter>
</worksheet>
</file>

<file path=xl/worksheets/sheet14.xml><?xml version="1.0" encoding="utf-8"?>
<worksheet xmlns="http://schemas.openxmlformats.org/spreadsheetml/2006/main">
  <sheetPr>
    <tabColor rgb="004A4A4A"/>
    <outlinePr summaryBelow="1" summaryRight="1"/>
    <pageSetUpPr fitToPage="1"/>
  </sheetPr>
  <dimension ref="A1:F16"/>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36" customWidth="1" min="1" max="1"/>
    <col width="28" customWidth="1" min="2" max="2"/>
    <col width="48" customWidth="1" min="3" max="3"/>
    <col width="55" customWidth="1" min="4" max="4"/>
    <col width="48" customWidth="1" min="5" max="5"/>
    <col width="12" customWidth="1" min="6" max="6"/>
  </cols>
  <sheetData>
    <row r="1" ht="32" customHeight="1">
      <c r="A1" s="17" t="inlineStr">
        <is>
          <t>アラーム、bake time、戦略、フック</t>
        </is>
      </c>
      <c r="B1" s="18" t="n"/>
      <c r="C1" s="18" t="n"/>
      <c r="D1" s="18" t="n"/>
      <c r="E1" s="18" t="n"/>
      <c r="F1" s="18" t="n"/>
    </row>
    <row r="2" ht="34" customHeight="1">
      <c r="A2" s="19" t="inlineStr">
        <is>
          <t>検査が「起動できたか」を見るのに対し、アラームは「起動したあと、指標が壊れていないか」を見ます。</t>
        </is>
      </c>
      <c r="B2" s="18" t="n"/>
      <c r="C2" s="18" t="n"/>
      <c r="D2" s="18" t="n"/>
      <c r="E2" s="18" t="n"/>
      <c r="F2" s="18" t="n"/>
    </row>
    <row r="3" ht="8" customHeight="1">
      <c r="A3" s="18" t="n"/>
      <c r="B3" s="18" t="n"/>
      <c r="C3" s="18" t="n"/>
      <c r="D3" s="18" t="n"/>
      <c r="E3" s="18" t="n"/>
      <c r="F3" s="18" t="n"/>
    </row>
    <row r="4" ht="32" customHeight="1">
      <c r="A4" s="9" t="inlineStr">
        <is>
          <t>仕組み</t>
        </is>
      </c>
      <c r="B4" s="9" t="inlineStr">
        <is>
          <t>時期</t>
        </is>
      </c>
      <c r="C4" s="9" t="inlineStr">
        <is>
          <t>見るもの</t>
        </is>
      </c>
      <c r="D4" s="9" t="inlineStr">
        <is>
          <t>デプロイへの効き方</t>
        </is>
      </c>
      <c r="E4" s="9" t="inlineStr">
        <is>
          <t>ヘルスチェックとの境界</t>
        </is>
      </c>
      <c r="F4" s="9" t="inlineStr">
        <is>
          <t>重要度</t>
        </is>
      </c>
    </row>
    <row r="5" ht="53" customHeight="1">
      <c r="A5" s="22" t="inlineStr">
        <is>
          <t>CloudWatch アラーム</t>
        </is>
      </c>
      <c r="B5" s="23" t="inlineStr">
        <is>
          <t>2022-12-20</t>
        </is>
      </c>
      <c r="C5" s="23" t="inlineStr">
        <is>
          <t>アラームに入れたメトリクス。CPU、メモリ、レイテンシ、独自指標。</t>
        </is>
      </c>
      <c r="D5" s="23" t="inlineStr">
        <is>
          <t>一つでも ALARM で FAILED。rollback はアラーム側の設定に従う。ブレーカーと併用時は、先に条件を満たした方が失敗を開始する。</t>
        </is>
      </c>
      <c r="E5" s="23" t="inlineStr">
        <is>
          <t>検査が成功したあとの劣化を見る。終了コードの代わりではない。</t>
        </is>
      </c>
      <c r="F5" s="23" t="inlineStr">
        <is>
          <t>高</t>
        </is>
      </c>
    </row>
    <row r="6" ht="38" customHeight="1">
      <c r="A6" s="22" t="inlineStr">
        <is>
          <t>bake time（アラーム付きローリング）</t>
        </is>
      </c>
      <c r="B6" s="23" t="inlineStr">
        <is>
          <t>2022-12-20 の説明に含まれる</t>
        </is>
      </c>
      <c r="C6" s="23" t="inlineStr">
        <is>
          <t>定常状態へ達したあと、COMPLETED にするまでの観察時間。</t>
        </is>
      </c>
      <c r="D6" s="23" t="inlineStr">
        <is>
          <t>この間にアラームが ALARM なら、タスクがいったん起動していても FAILED になれる。</t>
        </is>
      </c>
      <c r="E6" s="23" t="inlineStr">
        <is>
          <t>interval や startPeriod ではない。デプロイ全体の時計。</t>
        </is>
      </c>
      <c r="F6" s="23" t="inlineStr">
        <is>
          <t>高</t>
        </is>
      </c>
    </row>
    <row r="7" ht="38" customHeight="1">
      <c r="A7" s="22" t="inlineStr">
        <is>
          <t>bake time（ネイティブ blue/green）</t>
        </is>
      </c>
      <c r="B7" s="23" t="inlineStr">
        <is>
          <t>2025-07-17</t>
        </is>
      </c>
      <c r="C7" s="23" t="inlineStr">
        <is>
          <t>本番トラフィックを新しい側へ移したあと、古い側へ即座に戻せる時間。</t>
        </is>
      </c>
      <c r="D7" s="23" t="inlineStr">
        <is>
          <t>終わると古いタスクを片付ける。段階名は BAKE_TIME。この段階にライフサイクルフックは付かない。</t>
        </is>
      </c>
      <c r="E7" s="23" t="inlineStr">
        <is>
          <t>新しいタスクの初回 healthy（成功1回）とは別の、切替後の観察。</t>
        </is>
      </c>
      <c r="F7" s="23" t="inlineStr">
        <is>
          <t>高</t>
        </is>
      </c>
    </row>
    <row r="8" ht="38" customHeight="1">
      <c r="A8" s="24" t="inlineStr">
        <is>
          <t>ライフサイクルフック</t>
        </is>
      </c>
      <c r="B8" s="25" t="inlineStr">
        <is>
          <t>2025-07 以降</t>
        </is>
      </c>
      <c r="C8" s="25" t="inlineStr">
        <is>
          <t>Lambda の hookStatus。SUCCEEDED、FAILED、IN_PROGRESS。</t>
        </is>
      </c>
      <c r="D8" s="25" t="inlineStr">
        <is>
          <t>FAILED はその段階を前へ進めない。PRE_SCALE_UP はローリングでも使える。</t>
        </is>
      </c>
      <c r="E8" s="25" t="inlineStr">
        <is>
          <t>検査が成功しても、フックが FAILED なら本番確定ではない。</t>
        </is>
      </c>
      <c r="F8" s="25" t="inlineStr">
        <is>
          <t>中</t>
        </is>
      </c>
    </row>
    <row r="9" ht="53" customHeight="1">
      <c r="A9" s="24" t="inlineStr">
        <is>
          <t>PAUSE フック</t>
        </is>
      </c>
      <c r="B9" s="25" t="inlineStr">
        <is>
          <t>2026-05-19</t>
        </is>
      </c>
      <c r="C9" s="25" t="inlineStr">
        <is>
          <t>人または外部システムの再開待ち。</t>
        </is>
      </c>
      <c r="D9" s="25" t="inlineStr">
        <is>
          <t>ContinueServiceDeployment で再開。タイムアウト最大14日。時間切れは続行かロールバック。ローリング、blue/green、linear、canary。</t>
        </is>
      </c>
      <c r="E9" s="25" t="inlineStr">
        <is>
          <t>検査の retries とは無関係に、デプロイを止めておける。</t>
        </is>
      </c>
      <c r="F9" s="25" t="inlineStr">
        <is>
          <t>中</t>
        </is>
      </c>
    </row>
    <row r="10" ht="53" customHeight="1">
      <c r="A10" s="24" t="inlineStr">
        <is>
          <t>段階の時間制限</t>
        </is>
      </c>
      <c r="B10" s="25" t="inlineStr">
        <is>
          <t>blue/green のガイド</t>
        </is>
      </c>
      <c r="C10" s="25" t="inlineStr">
        <is>
          <t>各段階は最大24時間程度を想定し、24時間未満が推奨。一時停止フックは最大20,160分。デプロイ全体は30日という説明。CloudFormation は36時間。</t>
        </is>
      </c>
      <c r="D10" s="25" t="inlineStr">
        <is>
          <t>時間切れは、フックの timeoutAction と、CloudFormation の失敗処理で違う。</t>
        </is>
      </c>
      <c r="E10" s="25" t="inlineStr">
        <is>
          <t>猶予期間の最大約68年と、デプロイ段階の上限を混同しない。</t>
        </is>
      </c>
      <c r="F10" s="25" t="inlineStr">
        <is>
          <t>中</t>
        </is>
      </c>
    </row>
    <row r="11" ht="38" customHeight="1">
      <c r="A11" s="24" t="inlineStr">
        <is>
          <t>linear / canary</t>
        </is>
      </c>
      <c r="B11" s="25" t="inlineStr">
        <is>
          <t>ECS コントローラの戦略</t>
        </is>
      </c>
      <c r="C11" s="25" t="inlineStr">
        <is>
          <t>トラフィックを段階的に移す。段階ごとにフックを繰り返せる。</t>
        </is>
      </c>
      <c r="D11" s="25" t="inlineStr">
        <is>
          <t>新しい側がトラフィックを受けるには、受付とスケジューラの健全条件を満たす必要がある。</t>
        </is>
      </c>
      <c r="E11" s="25" t="inlineStr">
        <is>
          <t>割合の移動は、ALB の HealthyThresholdCount そのものではない。</t>
        </is>
      </c>
      <c r="F11" s="25" t="inlineStr">
        <is>
          <t>中</t>
        </is>
      </c>
    </row>
    <row r="12" ht="38" customHeight="1">
      <c r="A12" s="22" t="inlineStr">
        <is>
          <t>early success</t>
        </is>
      </c>
      <c r="B12" s="23" t="inlineStr">
        <is>
          <t>現行の deploymentConfiguration</t>
        </is>
      </c>
      <c r="C12" s="23" t="inlineStr">
        <is>
          <t>新しいリビジョンの healthyPercent。</t>
        </is>
      </c>
      <c r="D12" s="23" t="inlineStr">
        <is>
          <t>完了後はブレーカーもアラームもロールバックしない。DEFERRED は完了後も古いタスクが残る時間がある。</t>
        </is>
      </c>
      <c r="E12" s="23" t="inlineStr">
        <is>
          <t>40秒ルールや検査の HEALTHY を、早く完了させる設定でバイパスはしない。健全の定義は同じ。</t>
        </is>
      </c>
      <c r="F12" s="23" t="inlineStr">
        <is>
          <t>高</t>
        </is>
      </c>
    </row>
    <row r="13" ht="38" customHeight="1">
      <c r="A13" s="24" t="inlineStr">
        <is>
          <t>UnHealthyContainerHealthStatus</t>
        </is>
      </c>
      <c r="B13" s="25" t="inlineStr">
        <is>
          <t>2026-01-30</t>
        </is>
      </c>
      <c r="C13" s="25" t="inlineStr">
        <is>
          <t>コンテナ検査の結果。0 が HEALTHY、1 が UNHEALTHY。</t>
        </is>
      </c>
      <c r="D13" s="25" t="inlineStr">
        <is>
          <t>運用アラームの入力にできる。デプロイ失敗のアラームに使うなら、デプロイ中だけ反応する設計にする。</t>
        </is>
      </c>
      <c r="E13" s="25" t="inlineStr">
        <is>
          <t>検査をタスク定義に書いていないと出ない。UNKNOWN の文脈は EMF ログ側。</t>
        </is>
      </c>
      <c r="F13" s="25" t="inlineStr">
        <is>
          <t>中</t>
        </is>
      </c>
    </row>
    <row r="14" ht="38" customHeight="1">
      <c r="A14" s="24" t="inlineStr">
        <is>
          <t>AGENT_CONNECTIVITY</t>
        </is>
      </c>
      <c r="B14" s="25" t="inlineStr">
        <is>
          <t>2026-08-24</t>
        </is>
      </c>
      <c r="C14" s="25" t="inlineStr">
        <is>
          <t>エージェントとコントロールプレーンの接続。</t>
        </is>
      </c>
      <c r="D14" s="25" t="inlineStr">
        <is>
          <t>Fargate と Managed Instances はドレインと容量置換まで自動。EC2 はイベント。</t>
        </is>
      </c>
      <c r="E14" s="25" t="inlineStr">
        <is>
          <t>コンテナを UNHEALTHY にはしない。アプリの /health が 200 でも土台側の置換は起き得る。</t>
        </is>
      </c>
      <c r="F14" s="25" t="inlineStr">
        <is>
          <t>中</t>
        </is>
      </c>
    </row>
    <row r="15" ht="38" customHeight="1">
      <c r="A15" s="24" t="inlineStr">
        <is>
          <t>AZ 再分散</t>
        </is>
      </c>
      <c r="B15" s="25" t="inlineStr">
        <is>
          <t>新規作成の既定は 2025-09-05 以降</t>
        </is>
      </c>
      <c r="C15" s="25" t="inlineStr">
        <is>
          <t>ゾーン間のタスク数の偏り。</t>
        </is>
      </c>
      <c r="D15" s="25" t="inlineStr">
        <is>
          <t>少ないゾーンで起動し、多いゾーンを止める。</t>
        </is>
      </c>
      <c r="E15" s="25" t="inlineStr">
        <is>
          <t>ターゲットの unhealthy 理由コードは付かない。同時刻の別ゾーン起動とセットで見る。</t>
        </is>
      </c>
      <c r="F15" s="25" t="inlineStr">
        <is>
          <t>中</t>
        </is>
      </c>
    </row>
    <row r="16" ht="38" customHeight="1">
      <c r="A16" s="24" t="inlineStr">
        <is>
          <t>Fargate のタスク退役、ドレイン、スポット</t>
        </is>
      </c>
      <c r="B16" s="25" t="inlineStr">
        <is>
          <t>プラットフォームの保守と容量</t>
        </is>
      </c>
      <c r="C16" s="25" t="inlineStr">
        <is>
          <t>土台の終了。</t>
        </is>
      </c>
      <c r="D16" s="25" t="inlineStr">
        <is>
          <t>健全でもタスクは置き換わる。</t>
        </is>
      </c>
      <c r="E16" s="25" t="inlineStr">
        <is>
          <t>ヘルスチェックの間隔を延ばしても止まらない。停止理由を見る。</t>
        </is>
      </c>
      <c r="F16" s="25" t="inlineStr">
        <is>
          <t>中</t>
        </is>
      </c>
    </row>
  </sheetData>
  <autoFilter ref="A4:F16"/>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13_アラームと戦略</oddHeader>
    <oddFooter>&amp;L&amp;"Meiryo UI"&amp;8 調査基準日 2026-10-02  公式ドキュメントに基づく解説  モノトーン / Meiryo UI&amp;R&amp;"Meiryo UI"&amp;8 &amp;P / &amp;N</oddFooter>
    <evenHeader/>
    <evenFooter/>
    <firstHeader/>
    <firstFooter/>
  </headerFooter>
</worksheet>
</file>

<file path=xl/worksheets/sheet15.xml><?xml version="1.0" encoding="utf-8"?>
<worksheet xmlns="http://schemas.openxmlformats.org/spreadsheetml/2006/main">
  <sheetPr>
    <tabColor rgb="002C2C2C"/>
    <outlinePr summaryBelow="1" summaryRight="1"/>
    <pageSetUpPr fitToPage="1"/>
  </sheetPr>
  <dimension ref="A1:H64"/>
  <sheetViews>
    <sheetView showGridLines="0" view="normal" zoomScale="110" workbookViewId="0">
      <pane ySplit="22" topLeftCell="A23" activePane="bottomLeft" state="frozen"/>
      <selection pane="bottomLeft" activeCell="A1" sqref="A1"/>
    </sheetView>
  </sheetViews>
  <sheetFormatPr baseColWidth="8" defaultRowHeight="15"/>
  <cols>
    <col width="32" customWidth="1" min="1" max="1"/>
    <col width="16" customWidth="1" min="2" max="2"/>
    <col width="48" customWidth="1" min="3" max="3"/>
    <col width="16" customWidth="1" min="4" max="4"/>
    <col width="46" customWidth="1" min="5" max="5"/>
    <col width="14" customWidth="1" min="6" max="6"/>
    <col width="42" customWidth="1" min="7" max="7"/>
    <col width="22" customWidth="1" min="8" max="8"/>
  </cols>
  <sheetData>
    <row r="1" ht="32" customHeight="1">
      <c r="A1" s="28" t="inlineStr">
        <is>
          <t>時間と閾値の計算</t>
        </is>
      </c>
    </row>
    <row r="2" ht="32" customHeight="1">
      <c r="A2" s="29" t="inlineStr">
        <is>
          <t>灰のセルだけを編集します。白のセルは式です。秒数は目安であり、ALB の間隔は approximate、コンテナ検査の初回時刻はドキュメントが秒単位で保証していません。</t>
        </is>
      </c>
    </row>
    <row r="3">
      <c r="A3" s="9" t="inlineStr">
        <is>
          <t>入力</t>
        </is>
      </c>
      <c r="B3" s="9" t="inlineStr">
        <is>
          <t>値</t>
        </is>
      </c>
      <c r="C3" s="9" t="inlineStr">
        <is>
          <t>意味</t>
        </is>
      </c>
      <c r="E3" s="9" t="inlineStr">
        <is>
          <t>計算結果</t>
        </is>
      </c>
      <c r="F3" s="9" t="inlineStr">
        <is>
          <t>値</t>
        </is>
      </c>
      <c r="G3" s="9" t="inlineStr">
        <is>
          <t>式の意味</t>
        </is>
      </c>
      <c r="H3" s="30" t="n"/>
    </row>
    <row r="4" ht="36" customHeight="1">
      <c r="A4" s="14" t="inlineStr">
        <is>
          <t>desired 台数</t>
        </is>
      </c>
      <c r="B4" s="31" t="n">
        <v>4</v>
      </c>
      <c r="C4" s="32" t="inlineStr">
        <is>
          <t>サービスが維持したいタスク数</t>
        </is>
      </c>
      <c r="E4" s="33" t="inlineStr">
        <is>
          <t>失敗閾値</t>
        </is>
      </c>
      <c r="F4" s="34">
        <f>IF(B19="COUNT",B6,IF(B19="UNBOUNDED_PERCENT",ROUNDUP(B4*B5/100,0),MIN(200,MAX(3,ROUNDUP(B4*B5/100,0)))))</f>
        <v/>
      </c>
      <c r="G4" s="35" t="inlineStr">
        <is>
          <t>COUNT はその回数。UNBOUNDED は切り上げのみ。BOUNDED は3〜200</t>
        </is>
      </c>
      <c r="H4" s="36" t="n"/>
    </row>
    <row r="5" ht="36" customHeight="1">
      <c r="A5" s="14" t="inlineStr">
        <is>
          <t>閾値の百分率 value</t>
        </is>
      </c>
      <c r="B5" s="31" t="n">
        <v>50</v>
      </c>
      <c r="C5" s="32" t="inlineStr">
        <is>
          <t>BOUNDED と UNBOUNDED で使う。1〜100</t>
        </is>
      </c>
      <c r="E5" s="33" t="inlineStr">
        <is>
          <t>下限台数</t>
        </is>
      </c>
      <c r="F5" s="34">
        <f>ROUNDUP(B4*B7/100,0)</f>
        <v/>
      </c>
      <c r="G5" s="35" t="inlineStr">
        <is>
          <t>ceil(desired × minimumHealthyPercent / 100)</t>
        </is>
      </c>
      <c r="H5" s="36" t="n"/>
    </row>
    <row r="6" ht="36" customHeight="1">
      <c r="A6" s="14" t="inlineStr">
        <is>
          <t>COUNT のときの回数</t>
        </is>
      </c>
      <c r="B6" s="31" t="n">
        <v>3</v>
      </c>
      <c r="C6" s="32" t="inlineStr">
        <is>
          <t>type が COUNT のとき、この数が閾値そのもの</t>
        </is>
      </c>
      <c r="E6" s="33" t="inlineStr">
        <is>
          <t>上限台数</t>
        </is>
      </c>
      <c r="F6" s="34">
        <f>ROUNDDOWN(B4*B8/100,0)</f>
        <v/>
      </c>
      <c r="G6" s="35" t="inlineStr">
        <is>
          <t>floor(desired × maximumPercent / 100)</t>
        </is>
      </c>
      <c r="H6" s="36" t="n"/>
    </row>
    <row r="7" ht="36" customHeight="1">
      <c r="A7" s="14" t="inlineStr">
        <is>
          <t>minimumHealthyPercent</t>
        </is>
      </c>
      <c r="B7" s="31" t="n">
        <v>100</v>
      </c>
      <c r="C7" s="32" t="inlineStr">
        <is>
          <t>下限台数は切り上げ</t>
        </is>
      </c>
      <c r="E7" s="33" t="inlineStr">
        <is>
          <t>先に足せる枠</t>
        </is>
      </c>
      <c r="F7" s="34">
        <f>MAX(0,F6-B4)</f>
        <v/>
      </c>
      <c r="G7" s="35" t="inlineStr">
        <is>
          <t>上限台数 − desired。0 なら先に起動する枠が無い</t>
        </is>
      </c>
      <c r="H7" s="36" t="n"/>
    </row>
    <row r="8" ht="36" customHeight="1">
      <c r="A8" s="14" t="inlineStr">
        <is>
          <t>maximumPercent</t>
        </is>
      </c>
      <c r="B8" s="31" t="n">
        <v>200</v>
      </c>
      <c r="C8" s="32" t="inlineStr">
        <is>
          <t>上限台数は切り捨て</t>
        </is>
      </c>
      <c r="E8" s="33" t="inlineStr">
        <is>
          <t>コンテナが UNHEALTHY になる目安秒</t>
        </is>
      </c>
      <c r="F8" s="34">
        <f>B11+B9*B10</f>
        <v/>
      </c>
      <c r="G8" s="35" t="inlineStr">
        <is>
          <t>startPeriod + interval × retries。コマンドがすぐ失敗する想定</t>
        </is>
      </c>
      <c r="H8" s="36" t="n"/>
    </row>
    <row r="9" ht="36" customHeight="1">
      <c r="A9" s="14" t="inlineStr">
        <is>
          <t>コンテナ interval 秒</t>
        </is>
      </c>
      <c r="B9" s="31" t="n">
        <v>30</v>
      </c>
      <c r="C9" s="32" t="inlineStr">
        <is>
          <t>5〜300。既定30</t>
        </is>
      </c>
      <c r="E9" s="33" t="inlineStr">
        <is>
          <t>ALB 新規が healthy になる目安秒</t>
        </is>
      </c>
      <c r="F9" s="34">
        <f>B13</f>
        <v/>
      </c>
      <c r="G9" s="35" t="inlineStr">
        <is>
          <t>成功1回。およそ1間隔。正常しきい値は掛けない</t>
        </is>
      </c>
      <c r="H9" s="36" t="n"/>
    </row>
    <row r="10" ht="36" customHeight="1">
      <c r="A10" s="14" t="inlineStr">
        <is>
          <t>コンテナ retries</t>
        </is>
      </c>
      <c r="B10" s="31" t="n">
        <v>3</v>
      </c>
      <c r="C10" s="32" t="inlineStr">
        <is>
          <t>連続失敗回数。既定3</t>
        </is>
      </c>
      <c r="E10" s="33" t="inlineStr">
        <is>
          <t>既存ALBが unhealthy になる目安秒</t>
        </is>
      </c>
      <c r="F10" s="34">
        <f>B13*B14</f>
        <v/>
      </c>
      <c r="G10" s="35" t="inlineStr">
        <is>
          <t>interval × unhealthy しきい値</t>
        </is>
      </c>
      <c r="H10" s="36" t="n"/>
    </row>
    <row r="11" ht="36" customHeight="1">
      <c r="A11" s="14" t="inlineStr">
        <is>
          <t>コンテナ startPeriod 秒</t>
        </is>
      </c>
      <c r="B11" s="31" t="n">
        <v>0</v>
      </c>
      <c r="C11" s="32" t="inlineStr">
        <is>
          <t>0〜300</t>
        </is>
      </c>
      <c r="E11" s="33" t="inlineStr">
        <is>
          <t>ALB が unhealthy から戻る目安秒</t>
        </is>
      </c>
      <c r="F11" s="34">
        <f>B13*B15</f>
        <v/>
      </c>
      <c r="G11" s="35" t="inlineStr">
        <is>
          <t>interval × healthy しきい値。新規の初回とは別</t>
        </is>
      </c>
      <c r="H11" s="36" t="n"/>
    </row>
    <row r="12" ht="36" customHeight="1">
      <c r="A12" s="14" t="inlineStr">
        <is>
          <t>コンテナ timeout 秒</t>
        </is>
      </c>
      <c r="B12" s="31" t="n">
        <v>5</v>
      </c>
      <c r="C12" s="32" t="inlineStr">
        <is>
          <t>2〜60。見積もりの加算には使わない</t>
        </is>
      </c>
      <c r="E12" s="33" t="inlineStr">
        <is>
          <t>職員室がコンテナ不健康を見始める時刻の目安</t>
        </is>
      </c>
      <c r="F12" s="34">
        <f>MAX(B16,F8)</f>
        <v/>
      </c>
      <c r="G12" s="35" t="inlineStr">
        <is>
          <t>猶予と、UNHEALTHY になる目安の遅い方。猶予中は止めない</t>
        </is>
      </c>
      <c r="H12" s="36" t="n"/>
    </row>
    <row r="13" ht="36" customHeight="1">
      <c r="A13" s="14" t="inlineStr">
        <is>
          <t>ALB interval 秒</t>
        </is>
      </c>
      <c r="B13" s="31" t="n">
        <v>30</v>
      </c>
      <c r="C13" s="32" t="inlineStr">
        <is>
          <t>5〜300。既定30</t>
        </is>
      </c>
      <c r="E13" s="33" t="inlineStr">
        <is>
          <t>置換決断後の排出</t>
        </is>
      </c>
      <c r="F13" s="34">
        <f>B17</f>
        <v/>
      </c>
      <c r="G13" s="35" t="inlineStr">
        <is>
          <t>排出遅延。決断そのものはこの秒数を待たない</t>
        </is>
      </c>
      <c r="H13" s="36" t="n"/>
    </row>
    <row r="14" ht="22" customHeight="1">
      <c r="A14" s="14" t="inlineStr">
        <is>
          <t>ALB unhealthy しきい値</t>
        </is>
      </c>
      <c r="B14" s="31" t="n">
        <v>2</v>
      </c>
      <c r="C14" s="32" t="inlineStr">
        <is>
          <t>2〜10。既定2。既存ターゲットが落ちる回数</t>
        </is>
      </c>
    </row>
    <row r="15" ht="22" customHeight="1">
      <c r="A15" s="14" t="inlineStr">
        <is>
          <t>ALB healthy しきい値</t>
        </is>
      </c>
      <c r="B15" s="31" t="n">
        <v>5</v>
      </c>
      <c r="C15" s="32" t="inlineStr">
        <is>
          <t>2〜10。既定5。unhealthy から戻る回数。新規の初回には使わない</t>
        </is>
      </c>
    </row>
    <row r="16" ht="22" customHeight="1">
      <c r="A16" s="14" t="inlineStr">
        <is>
          <t>猶予秒数</t>
        </is>
      </c>
      <c r="B16" s="31" t="n">
        <v>0</v>
      </c>
      <c r="C16" s="32" t="inlineStr">
        <is>
          <t>起動後、スケジューラが不健康で止めない秒数</t>
        </is>
      </c>
    </row>
    <row r="17" ht="22" customHeight="1">
      <c r="A17" s="14" t="inlineStr">
        <is>
          <t>排出遅延秒</t>
        </is>
      </c>
      <c r="B17" s="31" t="n">
        <v>300</v>
      </c>
      <c r="C17" s="32" t="inlineStr">
        <is>
          <t>登録解除後の接続排出。既定300。0〜3600</t>
        </is>
      </c>
    </row>
    <row r="19" ht="24" customHeight="1">
      <c r="A19" s="37" t="inlineStr">
        <is>
          <t>閾値タイプ</t>
        </is>
      </c>
      <c r="B19" s="38" t="inlineStr">
        <is>
          <t>BOUNDED_PERCENT</t>
        </is>
      </c>
      <c r="C19" s="39" t="inlineStr">
        <is>
          <t>リストから選ぶ。既定は BOUNDED_PERCENT。</t>
        </is>
      </c>
    </row>
    <row r="21" ht="22" customHeight="1">
      <c r="A21" s="40" t="inlineStr">
        <is>
          <t>desired を 1 から 40 まで変えたときの、現在の入力による失敗閾値</t>
        </is>
      </c>
    </row>
    <row r="22" ht="22" customHeight="1">
      <c r="A22" s="9" t="inlineStr">
        <is>
          <t>desired</t>
        </is>
      </c>
      <c r="B22" s="9" t="inlineStr">
        <is>
          <t>失敗閾値</t>
        </is>
      </c>
      <c r="C22" s="9" t="inlineStr">
        <is>
          <t>下限台数</t>
        </is>
      </c>
      <c r="D22" s="9" t="inlineStr">
        <is>
          <t>上限台数</t>
        </is>
      </c>
      <c r="E22" s="9" t="inlineStr">
        <is>
          <t>先に足せる枠</t>
        </is>
      </c>
    </row>
    <row r="23" ht="18" customHeight="1">
      <c r="A23" s="41" t="n">
        <v>1</v>
      </c>
      <c r="B23" s="42">
        <f>IF($B$19="COUNT",$B$6,IF($B$19="UNBOUNDED_PERCENT",ROUNDUP(A23*$B$5/100,0),MIN(200,MAX(3,ROUNDUP(A23*$B$5/100,0)))))</f>
        <v/>
      </c>
      <c r="C23" s="41">
        <f>ROUNDUP(A23*$B$7/100,0)</f>
        <v/>
      </c>
      <c r="D23" s="41">
        <f>ROUNDDOWN(A23*$B$8/100,0)</f>
        <v/>
      </c>
      <c r="E23" s="41">
        <f>MAX(0,D23-A23)</f>
        <v/>
      </c>
    </row>
    <row r="24" ht="18" customHeight="1">
      <c r="A24" s="43" t="n">
        <v>2</v>
      </c>
      <c r="B24" s="44">
        <f>IF($B$19="COUNT",$B$6,IF($B$19="UNBOUNDED_PERCENT",ROUNDUP(A24*$B$5/100,0),MIN(200,MAX(3,ROUNDUP(A24*$B$5/100,0)))))</f>
        <v/>
      </c>
      <c r="C24" s="43">
        <f>ROUNDUP(A24*$B$7/100,0)</f>
        <v/>
      </c>
      <c r="D24" s="43">
        <f>ROUNDDOWN(A24*$B$8/100,0)</f>
        <v/>
      </c>
      <c r="E24" s="43">
        <f>MAX(0,D24-A24)</f>
        <v/>
      </c>
    </row>
    <row r="25" ht="18" customHeight="1">
      <c r="A25" s="45" t="n">
        <v>3</v>
      </c>
      <c r="B25" s="46">
        <f>IF($B$19="COUNT",$B$6,IF($B$19="UNBOUNDED_PERCENT",ROUNDUP(A25*$B$5/100,0),MIN(200,MAX(3,ROUNDUP(A25*$B$5/100,0)))))</f>
        <v/>
      </c>
      <c r="C25" s="45">
        <f>ROUNDUP(A25*$B$7/100,0)</f>
        <v/>
      </c>
      <c r="D25" s="45">
        <f>ROUNDDOWN(A25*$B$8/100,0)</f>
        <v/>
      </c>
      <c r="E25" s="45">
        <f>MAX(0,D25-A25)</f>
        <v/>
      </c>
    </row>
    <row r="26" ht="18" customHeight="1">
      <c r="A26" s="43" t="n">
        <v>4</v>
      </c>
      <c r="B26" s="44">
        <f>IF($B$19="COUNT",$B$6,IF($B$19="UNBOUNDED_PERCENT",ROUNDUP(A26*$B$5/100,0),MIN(200,MAX(3,ROUNDUP(A26*$B$5/100,0)))))</f>
        <v/>
      </c>
      <c r="C26" s="43">
        <f>ROUNDUP(A26*$B$7/100,0)</f>
        <v/>
      </c>
      <c r="D26" s="43">
        <f>ROUNDDOWN(A26*$B$8/100,0)</f>
        <v/>
      </c>
      <c r="E26" s="43">
        <f>MAX(0,D26-A26)</f>
        <v/>
      </c>
    </row>
    <row r="27" ht="18" customHeight="1">
      <c r="A27" s="45" t="n">
        <v>5</v>
      </c>
      <c r="B27" s="46">
        <f>IF($B$19="COUNT",$B$6,IF($B$19="UNBOUNDED_PERCENT",ROUNDUP(A27*$B$5/100,0),MIN(200,MAX(3,ROUNDUP(A27*$B$5/100,0)))))</f>
        <v/>
      </c>
      <c r="C27" s="45">
        <f>ROUNDUP(A27*$B$7/100,0)</f>
        <v/>
      </c>
      <c r="D27" s="45">
        <f>ROUNDDOWN(A27*$B$8/100,0)</f>
        <v/>
      </c>
      <c r="E27" s="45">
        <f>MAX(0,D27-A27)</f>
        <v/>
      </c>
    </row>
    <row r="28" ht="18" customHeight="1">
      <c r="A28" s="41" t="n">
        <v>6</v>
      </c>
      <c r="B28" s="42">
        <f>IF($B$19="COUNT",$B$6,IF($B$19="UNBOUNDED_PERCENT",ROUNDUP(A28*$B$5/100,0),MIN(200,MAX(3,ROUNDUP(A28*$B$5/100,0)))))</f>
        <v/>
      </c>
      <c r="C28" s="41">
        <f>ROUNDUP(A28*$B$7/100,0)</f>
        <v/>
      </c>
      <c r="D28" s="41">
        <f>ROUNDDOWN(A28*$B$8/100,0)</f>
        <v/>
      </c>
      <c r="E28" s="41">
        <f>MAX(0,D28-A28)</f>
        <v/>
      </c>
    </row>
    <row r="29" ht="18" customHeight="1">
      <c r="A29" s="41" t="n">
        <v>7</v>
      </c>
      <c r="B29" s="42">
        <f>IF($B$19="COUNT",$B$6,IF($B$19="UNBOUNDED_PERCENT",ROUNDUP(A29*$B$5/100,0),MIN(200,MAX(3,ROUNDUP(A29*$B$5/100,0)))))</f>
        <v/>
      </c>
      <c r="C29" s="41">
        <f>ROUNDUP(A29*$B$7/100,0)</f>
        <v/>
      </c>
      <c r="D29" s="41">
        <f>ROUNDDOWN(A29*$B$8/100,0)</f>
        <v/>
      </c>
      <c r="E29" s="41">
        <f>MAX(0,D29-A29)</f>
        <v/>
      </c>
    </row>
    <row r="30" ht="18" customHeight="1">
      <c r="A30" s="43" t="n">
        <v>8</v>
      </c>
      <c r="B30" s="44">
        <f>IF($B$19="COUNT",$B$6,IF($B$19="UNBOUNDED_PERCENT",ROUNDUP(A30*$B$5/100,0),MIN(200,MAX(3,ROUNDUP(A30*$B$5/100,0)))))</f>
        <v/>
      </c>
      <c r="C30" s="43">
        <f>ROUNDUP(A30*$B$7/100,0)</f>
        <v/>
      </c>
      <c r="D30" s="43">
        <f>ROUNDDOWN(A30*$B$8/100,0)</f>
        <v/>
      </c>
      <c r="E30" s="43">
        <f>MAX(0,D30-A30)</f>
        <v/>
      </c>
    </row>
    <row r="31" ht="18" customHeight="1">
      <c r="A31" s="45" t="n">
        <v>9</v>
      </c>
      <c r="B31" s="46">
        <f>IF($B$19="COUNT",$B$6,IF($B$19="UNBOUNDED_PERCENT",ROUNDUP(A31*$B$5/100,0),MIN(200,MAX(3,ROUNDUP(A31*$B$5/100,0)))))</f>
        <v/>
      </c>
      <c r="C31" s="45">
        <f>ROUNDUP(A31*$B$7/100,0)</f>
        <v/>
      </c>
      <c r="D31" s="45">
        <f>ROUNDDOWN(A31*$B$8/100,0)</f>
        <v/>
      </c>
      <c r="E31" s="45">
        <f>MAX(0,D31-A31)</f>
        <v/>
      </c>
    </row>
    <row r="32" ht="18" customHeight="1">
      <c r="A32" s="43" t="n">
        <v>10</v>
      </c>
      <c r="B32" s="44">
        <f>IF($B$19="COUNT",$B$6,IF($B$19="UNBOUNDED_PERCENT",ROUNDUP(A32*$B$5/100,0),MIN(200,MAX(3,ROUNDUP(A32*$B$5/100,0)))))</f>
        <v/>
      </c>
      <c r="C32" s="43">
        <f>ROUNDUP(A32*$B$7/100,0)</f>
        <v/>
      </c>
      <c r="D32" s="43">
        <f>ROUNDDOWN(A32*$B$8/100,0)</f>
        <v/>
      </c>
      <c r="E32" s="43">
        <f>MAX(0,D32-A32)</f>
        <v/>
      </c>
    </row>
    <row r="33" ht="18" customHeight="1">
      <c r="A33" s="45" t="n">
        <v>11</v>
      </c>
      <c r="B33" s="46">
        <f>IF($B$19="COUNT",$B$6,IF($B$19="UNBOUNDED_PERCENT",ROUNDUP(A33*$B$5/100,0),MIN(200,MAX(3,ROUNDUP(A33*$B$5/100,0)))))</f>
        <v/>
      </c>
      <c r="C33" s="45">
        <f>ROUNDUP(A33*$B$7/100,0)</f>
        <v/>
      </c>
      <c r="D33" s="45">
        <f>ROUNDDOWN(A33*$B$8/100,0)</f>
        <v/>
      </c>
      <c r="E33" s="45">
        <f>MAX(0,D33-A33)</f>
        <v/>
      </c>
    </row>
    <row r="34" ht="18" customHeight="1">
      <c r="A34" s="43" t="n">
        <v>12</v>
      </c>
      <c r="B34" s="44">
        <f>IF($B$19="COUNT",$B$6,IF($B$19="UNBOUNDED_PERCENT",ROUNDUP(A34*$B$5/100,0),MIN(200,MAX(3,ROUNDUP(A34*$B$5/100,0)))))</f>
        <v/>
      </c>
      <c r="C34" s="43">
        <f>ROUNDUP(A34*$B$7/100,0)</f>
        <v/>
      </c>
      <c r="D34" s="43">
        <f>ROUNDDOWN(A34*$B$8/100,0)</f>
        <v/>
      </c>
      <c r="E34" s="43">
        <f>MAX(0,D34-A34)</f>
        <v/>
      </c>
    </row>
    <row r="35" ht="18" customHeight="1">
      <c r="A35" s="45" t="n">
        <v>13</v>
      </c>
      <c r="B35" s="46">
        <f>IF($B$19="COUNT",$B$6,IF($B$19="UNBOUNDED_PERCENT",ROUNDUP(A35*$B$5/100,0),MIN(200,MAX(3,ROUNDUP(A35*$B$5/100,0)))))</f>
        <v/>
      </c>
      <c r="C35" s="45">
        <f>ROUNDUP(A35*$B$7/100,0)</f>
        <v/>
      </c>
      <c r="D35" s="45">
        <f>ROUNDDOWN(A35*$B$8/100,0)</f>
        <v/>
      </c>
      <c r="E35" s="45">
        <f>MAX(0,D35-A35)</f>
        <v/>
      </c>
    </row>
    <row r="36" ht="18" customHeight="1">
      <c r="A36" s="43" t="n">
        <v>14</v>
      </c>
      <c r="B36" s="44">
        <f>IF($B$19="COUNT",$B$6,IF($B$19="UNBOUNDED_PERCENT",ROUNDUP(A36*$B$5/100,0),MIN(200,MAX(3,ROUNDUP(A36*$B$5/100,0)))))</f>
        <v/>
      </c>
      <c r="C36" s="43">
        <f>ROUNDUP(A36*$B$7/100,0)</f>
        <v/>
      </c>
      <c r="D36" s="43">
        <f>ROUNDDOWN(A36*$B$8/100,0)</f>
        <v/>
      </c>
      <c r="E36" s="43">
        <f>MAX(0,D36-A36)</f>
        <v/>
      </c>
    </row>
    <row r="37" ht="18" customHeight="1">
      <c r="A37" s="45" t="n">
        <v>15</v>
      </c>
      <c r="B37" s="46">
        <f>IF($B$19="COUNT",$B$6,IF($B$19="UNBOUNDED_PERCENT",ROUNDUP(A37*$B$5/100,0),MIN(200,MAX(3,ROUNDUP(A37*$B$5/100,0)))))</f>
        <v/>
      </c>
      <c r="C37" s="45">
        <f>ROUNDUP(A37*$B$7/100,0)</f>
        <v/>
      </c>
      <c r="D37" s="45">
        <f>ROUNDDOWN(A37*$B$8/100,0)</f>
        <v/>
      </c>
      <c r="E37" s="45">
        <f>MAX(0,D37-A37)</f>
        <v/>
      </c>
    </row>
    <row r="38" ht="18" customHeight="1">
      <c r="A38" s="43" t="n">
        <v>16</v>
      </c>
      <c r="B38" s="44">
        <f>IF($B$19="COUNT",$B$6,IF($B$19="UNBOUNDED_PERCENT",ROUNDUP(A38*$B$5/100,0),MIN(200,MAX(3,ROUNDUP(A38*$B$5/100,0)))))</f>
        <v/>
      </c>
      <c r="C38" s="43">
        <f>ROUNDUP(A38*$B$7/100,0)</f>
        <v/>
      </c>
      <c r="D38" s="43">
        <f>ROUNDDOWN(A38*$B$8/100,0)</f>
        <v/>
      </c>
      <c r="E38" s="43">
        <f>MAX(0,D38-A38)</f>
        <v/>
      </c>
    </row>
    <row r="39" ht="18" customHeight="1">
      <c r="A39" s="45" t="n">
        <v>17</v>
      </c>
      <c r="B39" s="46">
        <f>IF($B$19="COUNT",$B$6,IF($B$19="UNBOUNDED_PERCENT",ROUNDUP(A39*$B$5/100,0),MIN(200,MAX(3,ROUNDUP(A39*$B$5/100,0)))))</f>
        <v/>
      </c>
      <c r="C39" s="45">
        <f>ROUNDUP(A39*$B$7/100,0)</f>
        <v/>
      </c>
      <c r="D39" s="45">
        <f>ROUNDDOWN(A39*$B$8/100,0)</f>
        <v/>
      </c>
      <c r="E39" s="45">
        <f>MAX(0,D39-A39)</f>
        <v/>
      </c>
    </row>
    <row r="40" ht="18" customHeight="1">
      <c r="A40" s="43" t="n">
        <v>18</v>
      </c>
      <c r="B40" s="44">
        <f>IF($B$19="COUNT",$B$6,IF($B$19="UNBOUNDED_PERCENT",ROUNDUP(A40*$B$5/100,0),MIN(200,MAX(3,ROUNDUP(A40*$B$5/100,0)))))</f>
        <v/>
      </c>
      <c r="C40" s="43">
        <f>ROUNDUP(A40*$B$7/100,0)</f>
        <v/>
      </c>
      <c r="D40" s="43">
        <f>ROUNDDOWN(A40*$B$8/100,0)</f>
        <v/>
      </c>
      <c r="E40" s="43">
        <f>MAX(0,D40-A40)</f>
        <v/>
      </c>
    </row>
    <row r="41" ht="18" customHeight="1">
      <c r="A41" s="45" t="n">
        <v>19</v>
      </c>
      <c r="B41" s="46">
        <f>IF($B$19="COUNT",$B$6,IF($B$19="UNBOUNDED_PERCENT",ROUNDUP(A41*$B$5/100,0),MIN(200,MAX(3,ROUNDUP(A41*$B$5/100,0)))))</f>
        <v/>
      </c>
      <c r="C41" s="45">
        <f>ROUNDUP(A41*$B$7/100,0)</f>
        <v/>
      </c>
      <c r="D41" s="45">
        <f>ROUNDDOWN(A41*$B$8/100,0)</f>
        <v/>
      </c>
      <c r="E41" s="45">
        <f>MAX(0,D41-A41)</f>
        <v/>
      </c>
    </row>
    <row r="42" ht="18" customHeight="1">
      <c r="A42" s="43" t="n">
        <v>20</v>
      </c>
      <c r="B42" s="44">
        <f>IF($B$19="COUNT",$B$6,IF($B$19="UNBOUNDED_PERCENT",ROUNDUP(A42*$B$5/100,0),MIN(200,MAX(3,ROUNDUP(A42*$B$5/100,0)))))</f>
        <v/>
      </c>
      <c r="C42" s="43">
        <f>ROUNDUP(A42*$B$7/100,0)</f>
        <v/>
      </c>
      <c r="D42" s="43">
        <f>ROUNDDOWN(A42*$B$8/100,0)</f>
        <v/>
      </c>
      <c r="E42" s="43">
        <f>MAX(0,D42-A42)</f>
        <v/>
      </c>
    </row>
    <row r="43" ht="18" customHeight="1">
      <c r="A43" s="45" t="n">
        <v>21</v>
      </c>
      <c r="B43" s="46">
        <f>IF($B$19="COUNT",$B$6,IF($B$19="UNBOUNDED_PERCENT",ROUNDUP(A43*$B$5/100,0),MIN(200,MAX(3,ROUNDUP(A43*$B$5/100,0)))))</f>
        <v/>
      </c>
      <c r="C43" s="45">
        <f>ROUNDUP(A43*$B$7/100,0)</f>
        <v/>
      </c>
      <c r="D43" s="45">
        <f>ROUNDDOWN(A43*$B$8/100,0)</f>
        <v/>
      </c>
      <c r="E43" s="45">
        <f>MAX(0,D43-A43)</f>
        <v/>
      </c>
    </row>
    <row r="44" ht="18" customHeight="1">
      <c r="A44" s="43" t="n">
        <v>22</v>
      </c>
      <c r="B44" s="44">
        <f>IF($B$19="COUNT",$B$6,IF($B$19="UNBOUNDED_PERCENT",ROUNDUP(A44*$B$5/100,0),MIN(200,MAX(3,ROUNDUP(A44*$B$5/100,0)))))</f>
        <v/>
      </c>
      <c r="C44" s="43">
        <f>ROUNDUP(A44*$B$7/100,0)</f>
        <v/>
      </c>
      <c r="D44" s="43">
        <f>ROUNDDOWN(A44*$B$8/100,0)</f>
        <v/>
      </c>
      <c r="E44" s="43">
        <f>MAX(0,D44-A44)</f>
        <v/>
      </c>
    </row>
    <row r="45" ht="18" customHeight="1">
      <c r="A45" s="45" t="n">
        <v>23</v>
      </c>
      <c r="B45" s="46">
        <f>IF($B$19="COUNT",$B$6,IF($B$19="UNBOUNDED_PERCENT",ROUNDUP(A45*$B$5/100,0),MIN(200,MAX(3,ROUNDUP(A45*$B$5/100,0)))))</f>
        <v/>
      </c>
      <c r="C45" s="45">
        <f>ROUNDUP(A45*$B$7/100,0)</f>
        <v/>
      </c>
      <c r="D45" s="45">
        <f>ROUNDDOWN(A45*$B$8/100,0)</f>
        <v/>
      </c>
      <c r="E45" s="45">
        <f>MAX(0,D45-A45)</f>
        <v/>
      </c>
    </row>
    <row r="46" ht="18" customHeight="1">
      <c r="A46" s="43" t="n">
        <v>24</v>
      </c>
      <c r="B46" s="44">
        <f>IF($B$19="COUNT",$B$6,IF($B$19="UNBOUNDED_PERCENT",ROUNDUP(A46*$B$5/100,0),MIN(200,MAX(3,ROUNDUP(A46*$B$5/100,0)))))</f>
        <v/>
      </c>
      <c r="C46" s="43">
        <f>ROUNDUP(A46*$B$7/100,0)</f>
        <v/>
      </c>
      <c r="D46" s="43">
        <f>ROUNDDOWN(A46*$B$8/100,0)</f>
        <v/>
      </c>
      <c r="E46" s="43">
        <f>MAX(0,D46-A46)</f>
        <v/>
      </c>
    </row>
    <row r="47" ht="18" customHeight="1">
      <c r="A47" s="41" t="n">
        <v>25</v>
      </c>
      <c r="B47" s="42">
        <f>IF($B$19="COUNT",$B$6,IF($B$19="UNBOUNDED_PERCENT",ROUNDUP(A47*$B$5/100,0),MIN(200,MAX(3,ROUNDUP(A47*$B$5/100,0)))))</f>
        <v/>
      </c>
      <c r="C47" s="41">
        <f>ROUNDUP(A47*$B$7/100,0)</f>
        <v/>
      </c>
      <c r="D47" s="41">
        <f>ROUNDDOWN(A47*$B$8/100,0)</f>
        <v/>
      </c>
      <c r="E47" s="41">
        <f>MAX(0,D47-A47)</f>
        <v/>
      </c>
    </row>
    <row r="48" ht="18" customHeight="1">
      <c r="A48" s="43" t="n">
        <v>26</v>
      </c>
      <c r="B48" s="44">
        <f>IF($B$19="COUNT",$B$6,IF($B$19="UNBOUNDED_PERCENT",ROUNDUP(A48*$B$5/100,0),MIN(200,MAX(3,ROUNDUP(A48*$B$5/100,0)))))</f>
        <v/>
      </c>
      <c r="C48" s="43">
        <f>ROUNDUP(A48*$B$7/100,0)</f>
        <v/>
      </c>
      <c r="D48" s="43">
        <f>ROUNDDOWN(A48*$B$8/100,0)</f>
        <v/>
      </c>
      <c r="E48" s="43">
        <f>MAX(0,D48-A48)</f>
        <v/>
      </c>
    </row>
    <row r="49" ht="18" customHeight="1">
      <c r="A49" s="45" t="n">
        <v>27</v>
      </c>
      <c r="B49" s="46">
        <f>IF($B$19="COUNT",$B$6,IF($B$19="UNBOUNDED_PERCENT",ROUNDUP(A49*$B$5/100,0),MIN(200,MAX(3,ROUNDUP(A49*$B$5/100,0)))))</f>
        <v/>
      </c>
      <c r="C49" s="45">
        <f>ROUNDUP(A49*$B$7/100,0)</f>
        <v/>
      </c>
      <c r="D49" s="45">
        <f>ROUNDDOWN(A49*$B$8/100,0)</f>
        <v/>
      </c>
      <c r="E49" s="45">
        <f>MAX(0,D49-A49)</f>
        <v/>
      </c>
    </row>
    <row r="50" ht="18" customHeight="1">
      <c r="A50" s="43" t="n">
        <v>28</v>
      </c>
      <c r="B50" s="44">
        <f>IF($B$19="COUNT",$B$6,IF($B$19="UNBOUNDED_PERCENT",ROUNDUP(A50*$B$5/100,0),MIN(200,MAX(3,ROUNDUP(A50*$B$5/100,0)))))</f>
        <v/>
      </c>
      <c r="C50" s="43">
        <f>ROUNDUP(A50*$B$7/100,0)</f>
        <v/>
      </c>
      <c r="D50" s="43">
        <f>ROUNDDOWN(A50*$B$8/100,0)</f>
        <v/>
      </c>
      <c r="E50" s="43">
        <f>MAX(0,D50-A50)</f>
        <v/>
      </c>
    </row>
    <row r="51" ht="18" customHeight="1">
      <c r="A51" s="45" t="n">
        <v>29</v>
      </c>
      <c r="B51" s="46">
        <f>IF($B$19="COUNT",$B$6,IF($B$19="UNBOUNDED_PERCENT",ROUNDUP(A51*$B$5/100,0),MIN(200,MAX(3,ROUNDUP(A51*$B$5/100,0)))))</f>
        <v/>
      </c>
      <c r="C51" s="45">
        <f>ROUNDUP(A51*$B$7/100,0)</f>
        <v/>
      </c>
      <c r="D51" s="45">
        <f>ROUNDDOWN(A51*$B$8/100,0)</f>
        <v/>
      </c>
      <c r="E51" s="45">
        <f>MAX(0,D51-A51)</f>
        <v/>
      </c>
    </row>
    <row r="52" ht="18" customHeight="1">
      <c r="A52" s="43" t="n">
        <v>30</v>
      </c>
      <c r="B52" s="44">
        <f>IF($B$19="COUNT",$B$6,IF($B$19="UNBOUNDED_PERCENT",ROUNDUP(A52*$B$5/100,0),MIN(200,MAX(3,ROUNDUP(A52*$B$5/100,0)))))</f>
        <v/>
      </c>
      <c r="C52" s="43">
        <f>ROUNDUP(A52*$B$7/100,0)</f>
        <v/>
      </c>
      <c r="D52" s="43">
        <f>ROUNDDOWN(A52*$B$8/100,0)</f>
        <v/>
      </c>
      <c r="E52" s="43">
        <f>MAX(0,D52-A52)</f>
        <v/>
      </c>
    </row>
    <row r="53" ht="18" customHeight="1">
      <c r="A53" s="45" t="n">
        <v>31</v>
      </c>
      <c r="B53" s="46">
        <f>IF($B$19="COUNT",$B$6,IF($B$19="UNBOUNDED_PERCENT",ROUNDUP(A53*$B$5/100,0),MIN(200,MAX(3,ROUNDUP(A53*$B$5/100,0)))))</f>
        <v/>
      </c>
      <c r="C53" s="45">
        <f>ROUNDUP(A53*$B$7/100,0)</f>
        <v/>
      </c>
      <c r="D53" s="45">
        <f>ROUNDDOWN(A53*$B$8/100,0)</f>
        <v/>
      </c>
      <c r="E53" s="45">
        <f>MAX(0,D53-A53)</f>
        <v/>
      </c>
    </row>
    <row r="54" ht="18" customHeight="1">
      <c r="A54" s="43" t="n">
        <v>32</v>
      </c>
      <c r="B54" s="44">
        <f>IF($B$19="COUNT",$B$6,IF($B$19="UNBOUNDED_PERCENT",ROUNDUP(A54*$B$5/100,0),MIN(200,MAX(3,ROUNDUP(A54*$B$5/100,0)))))</f>
        <v/>
      </c>
      <c r="C54" s="43">
        <f>ROUNDUP(A54*$B$7/100,0)</f>
        <v/>
      </c>
      <c r="D54" s="43">
        <f>ROUNDDOWN(A54*$B$8/100,0)</f>
        <v/>
      </c>
      <c r="E54" s="43">
        <f>MAX(0,D54-A54)</f>
        <v/>
      </c>
    </row>
    <row r="55" ht="18" customHeight="1">
      <c r="A55" s="45" t="n">
        <v>33</v>
      </c>
      <c r="B55" s="46">
        <f>IF($B$19="COUNT",$B$6,IF($B$19="UNBOUNDED_PERCENT",ROUNDUP(A55*$B$5/100,0),MIN(200,MAX(3,ROUNDUP(A55*$B$5/100,0)))))</f>
        <v/>
      </c>
      <c r="C55" s="45">
        <f>ROUNDUP(A55*$B$7/100,0)</f>
        <v/>
      </c>
      <c r="D55" s="45">
        <f>ROUNDDOWN(A55*$B$8/100,0)</f>
        <v/>
      </c>
      <c r="E55" s="45">
        <f>MAX(0,D55-A55)</f>
        <v/>
      </c>
    </row>
    <row r="56" ht="18" customHeight="1">
      <c r="A56" s="43" t="n">
        <v>34</v>
      </c>
      <c r="B56" s="44">
        <f>IF($B$19="COUNT",$B$6,IF($B$19="UNBOUNDED_PERCENT",ROUNDUP(A56*$B$5/100,0),MIN(200,MAX(3,ROUNDUP(A56*$B$5/100,0)))))</f>
        <v/>
      </c>
      <c r="C56" s="43">
        <f>ROUNDUP(A56*$B$7/100,0)</f>
        <v/>
      </c>
      <c r="D56" s="43">
        <f>ROUNDDOWN(A56*$B$8/100,0)</f>
        <v/>
      </c>
      <c r="E56" s="43">
        <f>MAX(0,D56-A56)</f>
        <v/>
      </c>
    </row>
    <row r="57" ht="18" customHeight="1">
      <c r="A57" s="45" t="n">
        <v>35</v>
      </c>
      <c r="B57" s="46">
        <f>IF($B$19="COUNT",$B$6,IF($B$19="UNBOUNDED_PERCENT",ROUNDUP(A57*$B$5/100,0),MIN(200,MAX(3,ROUNDUP(A57*$B$5/100,0)))))</f>
        <v/>
      </c>
      <c r="C57" s="45">
        <f>ROUNDUP(A57*$B$7/100,0)</f>
        <v/>
      </c>
      <c r="D57" s="45">
        <f>ROUNDDOWN(A57*$B$8/100,0)</f>
        <v/>
      </c>
      <c r="E57" s="45">
        <f>MAX(0,D57-A57)</f>
        <v/>
      </c>
    </row>
    <row r="58" ht="18" customHeight="1">
      <c r="A58" s="43" t="n">
        <v>36</v>
      </c>
      <c r="B58" s="44">
        <f>IF($B$19="COUNT",$B$6,IF($B$19="UNBOUNDED_PERCENT",ROUNDUP(A58*$B$5/100,0),MIN(200,MAX(3,ROUNDUP(A58*$B$5/100,0)))))</f>
        <v/>
      </c>
      <c r="C58" s="43">
        <f>ROUNDUP(A58*$B$7/100,0)</f>
        <v/>
      </c>
      <c r="D58" s="43">
        <f>ROUNDDOWN(A58*$B$8/100,0)</f>
        <v/>
      </c>
      <c r="E58" s="43">
        <f>MAX(0,D58-A58)</f>
        <v/>
      </c>
    </row>
    <row r="59" ht="18" customHeight="1">
      <c r="A59" s="45" t="n">
        <v>37</v>
      </c>
      <c r="B59" s="46">
        <f>IF($B$19="COUNT",$B$6,IF($B$19="UNBOUNDED_PERCENT",ROUNDUP(A59*$B$5/100,0),MIN(200,MAX(3,ROUNDUP(A59*$B$5/100,0)))))</f>
        <v/>
      </c>
      <c r="C59" s="45">
        <f>ROUNDUP(A59*$B$7/100,0)</f>
        <v/>
      </c>
      <c r="D59" s="45">
        <f>ROUNDDOWN(A59*$B$8/100,0)</f>
        <v/>
      </c>
      <c r="E59" s="45">
        <f>MAX(0,D59-A59)</f>
        <v/>
      </c>
    </row>
    <row r="60" ht="18" customHeight="1">
      <c r="A60" s="43" t="n">
        <v>38</v>
      </c>
      <c r="B60" s="44">
        <f>IF($B$19="COUNT",$B$6,IF($B$19="UNBOUNDED_PERCENT",ROUNDUP(A60*$B$5/100,0),MIN(200,MAX(3,ROUNDUP(A60*$B$5/100,0)))))</f>
        <v/>
      </c>
      <c r="C60" s="43">
        <f>ROUNDUP(A60*$B$7/100,0)</f>
        <v/>
      </c>
      <c r="D60" s="43">
        <f>ROUNDDOWN(A60*$B$8/100,0)</f>
        <v/>
      </c>
      <c r="E60" s="43">
        <f>MAX(0,D60-A60)</f>
        <v/>
      </c>
    </row>
    <row r="61" ht="18" customHeight="1">
      <c r="A61" s="45" t="n">
        <v>39</v>
      </c>
      <c r="B61" s="46">
        <f>IF($B$19="COUNT",$B$6,IF($B$19="UNBOUNDED_PERCENT",ROUNDUP(A61*$B$5/100,0),MIN(200,MAX(3,ROUNDUP(A61*$B$5/100,0)))))</f>
        <v/>
      </c>
      <c r="C61" s="45">
        <f>ROUNDUP(A61*$B$7/100,0)</f>
        <v/>
      </c>
      <c r="D61" s="45">
        <f>ROUNDDOWN(A61*$B$8/100,0)</f>
        <v/>
      </c>
      <c r="E61" s="45">
        <f>MAX(0,D61-A61)</f>
        <v/>
      </c>
    </row>
    <row r="62" ht="18" customHeight="1">
      <c r="A62" s="43" t="n">
        <v>40</v>
      </c>
      <c r="B62" s="44">
        <f>IF($B$19="COUNT",$B$6,IF($B$19="UNBOUNDED_PERCENT",ROUNDUP(A62*$B$5/100,0),MIN(200,MAX(3,ROUNDUP(A62*$B$5/100,0)))))</f>
        <v/>
      </c>
      <c r="C62" s="43">
        <f>ROUNDUP(A62*$B$7/100,0)</f>
        <v/>
      </c>
      <c r="D62" s="43">
        <f>ROUNDDOWN(A62*$B$8/100,0)</f>
        <v/>
      </c>
      <c r="E62" s="43">
        <f>MAX(0,D62-A62)</f>
        <v/>
      </c>
    </row>
    <row r="64" ht="32" customHeight="1">
      <c r="A64" s="47" t="inlineStr">
        <is>
          <t>濃い灰の行は、文書中で何度も使う desired 1、6、7、25 です。desired 1 の既定閾値は 3、desired 25 は 13 になります。タイプや百分率を変えると、この表も変わります。</t>
        </is>
      </c>
    </row>
  </sheetData>
  <autoFilter ref="A22:E62"/>
  <mergeCells count="15">
    <mergeCell ref="G4:H4"/>
    <mergeCell ref="G12:H12"/>
    <mergeCell ref="G7:H7"/>
    <mergeCell ref="A64:E64"/>
    <mergeCell ref="A2:H2"/>
    <mergeCell ref="G10:H10"/>
    <mergeCell ref="G11:H11"/>
    <mergeCell ref="G5:H5"/>
    <mergeCell ref="A21:C21"/>
    <mergeCell ref="G6:H6"/>
    <mergeCell ref="A1:H1"/>
    <mergeCell ref="G8:H8"/>
    <mergeCell ref="G9:H9"/>
    <mergeCell ref="G3:H3"/>
    <mergeCell ref="G13:H13"/>
  </mergeCells>
  <dataValidations count="2">
    <dataValidation sqref="B19" showDropDown="0" showInputMessage="0" showErrorMessage="0" allowBlank="0" type="list">
      <formula1>"BOUNDED_PERCENT,UNBOUNDED_PERCENT,COUNT"</formula1>
    </dataValidation>
    <dataValidation sqref="B4:B17" showDropDown="0" showInputMessage="0" showErrorMessage="0" allowBlank="0" type="whole" operator="greaterThanOrEqual">
      <formula1>0</formula1>
    </dataValidation>
  </dataValidations>
  <pageMargins left="0.45" right="0.45" top="0.7" bottom="0.55" header="0.28" footer="0.25"/>
  <pageSetup orientation="landscape" paperSize="8" fitToHeight="0" fitToWidth="1"/>
  <headerFooter>
    <oddHeader>&amp;L&amp;"Meiryo UI"&amp;9 ECS ヘルスチェック詳説&amp;R&amp;"Meiryo UI"&amp;9 14_時間の計算</oddHeader>
    <oddFooter>&amp;L&amp;"Meiryo UI"&amp;8 灰のセルが入力。白の数値は式。調査基準日 2026-10-02&amp;R&amp;"Meiryo UI"&amp;P / &amp;N</oddFooter>
    <evenHeader/>
    <evenFooter/>
    <firstHeader/>
    <firstFooter/>
  </headerFooter>
  <drawing xmlns:r="http://schemas.openxmlformats.org/officeDocument/2006/relationships" r:id="rId1"/>
</worksheet>
</file>

<file path=xl/worksheets/sheet16.xml><?xml version="1.0" encoding="utf-8"?>
<worksheet xmlns="http://schemas.openxmlformats.org/spreadsheetml/2006/main">
  <sheetPr>
    <tabColor rgb="004A4A4A"/>
    <outlinePr summaryBelow="1" summaryRight="1"/>
    <pageSetUpPr fitToPage="1"/>
  </sheetPr>
  <dimension ref="A1:E24"/>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48" customWidth="1" min="1" max="1"/>
    <col width="24" customWidth="1" min="2" max="2"/>
    <col width="55" customWidth="1" min="3" max="3"/>
    <col width="52" customWidth="1" min="4" max="4"/>
    <col width="12" customWidth="1" min="5" max="5"/>
  </cols>
  <sheetData>
    <row r="1" ht="32" customHeight="1">
      <c r="A1" s="17" t="inlineStr">
        <is>
          <t>見え方から原因へ</t>
        </is>
      </c>
      <c r="B1" s="18" t="n"/>
      <c r="C1" s="18" t="n"/>
      <c r="D1" s="18" t="n"/>
      <c r="E1" s="18" t="n"/>
    </row>
    <row r="2" ht="34" customHeight="1">
      <c r="A2" s="19" t="inlineStr">
        <is>
          <t>最初の一行で、受付の出来事か、職員室の判断か、ブレーカーの宣言かを分けます。</t>
        </is>
      </c>
      <c r="B2" s="18" t="n"/>
      <c r="C2" s="18" t="n"/>
      <c r="D2" s="18" t="n"/>
      <c r="E2" s="18" t="n"/>
    </row>
    <row r="3" ht="8" customHeight="1">
      <c r="A3" s="18" t="n"/>
      <c r="B3" s="18" t="n"/>
      <c r="C3" s="18" t="n"/>
      <c r="D3" s="18" t="n"/>
      <c r="E3" s="18" t="n"/>
    </row>
    <row r="4" ht="32" customHeight="1">
      <c r="A4" s="9" t="inlineStr">
        <is>
          <t>コンソールやイベントの見え方</t>
        </is>
      </c>
      <c r="B4" s="9" t="inlineStr">
        <is>
          <t>先に疑う場所</t>
        </is>
      </c>
      <c r="C4" s="9" t="inlineStr">
        <is>
          <t>仕組みの上での説明</t>
        </is>
      </c>
      <c r="D4" s="9" t="inlineStr">
        <is>
          <t>次に見る設定</t>
        </is>
      </c>
      <c r="E4" s="9" t="inlineStr">
        <is>
          <t>重要度</t>
        </is>
      </c>
    </row>
    <row r="5" ht="23" customHeight="1">
      <c r="A5" s="22" t="inlineStr">
        <is>
          <t>ターゲットが unhealthy、タスクは RUNNING のまま</t>
        </is>
      </c>
      <c r="B5" s="23" t="inlineStr">
        <is>
          <t>猶予期間</t>
        </is>
      </c>
      <c r="C5" s="23" t="inlineStr">
        <is>
          <t>受付はすでに通信を外しているが、職員室はまだ止めない。</t>
        </is>
      </c>
      <c r="D5" s="23" t="inlineStr">
        <is>
          <t>healthCheckGracePeriodSeconds と、タスク起動時刻。</t>
        </is>
      </c>
      <c r="E5" s="23" t="inlineStr">
        <is>
          <t>高</t>
        </is>
      </c>
    </row>
    <row r="6" ht="38" customHeight="1">
      <c r="A6" s="22" t="inlineStr">
        <is>
          <t>(service)(task)(port) is unhealthy in (target-group) due to Timeout</t>
        </is>
      </c>
      <c r="B6" s="23" t="inlineStr">
        <is>
          <t>到達性</t>
        </is>
      </c>
      <c r="C6" s="23" t="inlineStr">
        <is>
          <t>ALB からタスクポートへ届いていない。コンテナ検査は成功し得る。</t>
        </is>
      </c>
      <c r="D6" s="23" t="inlineStr">
        <is>
          <t>セキュリティグループ、ネットワーク ACL、bind アドレス、検査ポート。</t>
        </is>
      </c>
      <c r="E6" s="23" t="inlineStr">
        <is>
          <t>高</t>
        </is>
      </c>
    </row>
    <row r="7" ht="38" customHeight="1">
      <c r="A7" s="22" t="inlineStr">
        <is>
          <t>reason が ResponseCodeMismatch で [301] や [401]</t>
        </is>
      </c>
      <c r="B7" s="23" t="inlineStr">
        <is>
          <t>成功コードとパス</t>
        </is>
      </c>
      <c r="C7" s="23" t="inlineStr">
        <is>
          <t>既定の成功は 200 だけ。リダイレクトも認証も失敗。</t>
        </is>
      </c>
      <c r="D7" s="23" t="inlineStr">
        <is>
          <t>HealthCheckPath と Matcher。検査専用パスを認証の外に出す。</t>
        </is>
      </c>
      <c r="E7" s="23" t="inlineStr">
        <is>
          <t>高</t>
        </is>
      </c>
    </row>
    <row r="8" ht="38" customHeight="1">
      <c r="A8" s="22" t="inlineStr">
        <is>
          <t>新しいタスクが healthy になるまで 150 秒も掛かる、と思っていたが 30 秒だった</t>
        </is>
      </c>
      <c r="B8" s="23" t="inlineStr">
        <is>
          <t>新規と復帰の違い</t>
        </is>
      </c>
      <c r="C8" s="23" t="inlineStr">
        <is>
          <t>新規は成功1回。150秒は、落ちたあと既定5回で戻る時間。</t>
        </is>
      </c>
      <c r="D8" s="23" t="inlineStr">
        <is>
          <t>HealthyThresholdCount を、初回登録の待ち時間に使っていないか。</t>
        </is>
      </c>
      <c r="E8" s="23" t="inlineStr">
        <is>
          <t>高</t>
        </is>
      </c>
    </row>
    <row r="9" ht="38" customHeight="1">
      <c r="A9" s="22" t="inlineStr">
        <is>
          <t>タスクが UNHEALTHY だがサービスが交換しない</t>
        </is>
      </c>
      <c r="B9" s="23" t="inlineStr">
        <is>
          <t>所属と猶予と必須</t>
        </is>
      </c>
      <c r="C9" s="23" t="inlineStr">
        <is>
          <t>単独タスク、猶予の内、非必須コンテナ、タスク定義に検査が無い、のいずれか。</t>
        </is>
      </c>
      <c r="D9" s="23" t="inlineStr">
        <is>
          <t>サービス所属、essential、healthCheck の有無、猶予の残り。</t>
        </is>
      </c>
      <c r="E9" s="23" t="inlineStr">
        <is>
          <t>高</t>
        </is>
      </c>
    </row>
    <row r="10" ht="38" customHeight="1">
      <c r="A10" s="22" t="inlineStr">
        <is>
          <t>Dockerfile に HEALTHCHECK があるのに ECS が UNKNOWN のまま</t>
        </is>
      </c>
      <c r="B10" s="23" t="inlineStr">
        <is>
          <t>タスク定義</t>
        </is>
      </c>
      <c r="C10" s="23" t="inlineStr">
        <is>
          <t>エージェントはタスク定義に書いた検査だけを見る。</t>
        </is>
      </c>
      <c r="D10" s="23" t="inlineStr">
        <is>
          <t>コンテナ定義へ healthCheck を明示する。</t>
        </is>
      </c>
      <c r="E10" s="23" t="inlineStr">
        <is>
          <t>高</t>
        </is>
      </c>
    </row>
    <row r="11" ht="38" customHeight="1">
      <c r="A11" s="22" t="inlineStr">
        <is>
          <t>CMD-SHELL がすぐ失敗する</t>
        </is>
      </c>
      <c r="B11" s="23" t="inlineStr">
        <is>
          <t>イメージの中身</t>
        </is>
      </c>
      <c r="C11" s="23" t="inlineStr">
        <is>
          <t>シェルまたは curl が無い。終了コードが非0なので、アプリ障害と同じに見える。</t>
        </is>
      </c>
      <c r="D11" s="23" t="inlineStr">
        <is>
          <t>イメージに入ったバイナリを CMD で実行する。</t>
        </is>
      </c>
      <c r="E11" s="23" t="inlineStr">
        <is>
          <t>高</t>
        </is>
      </c>
    </row>
    <row r="12" ht="38" customHeight="1">
      <c r="A12" s="22" t="inlineStr">
        <is>
          <t>起動のたびにタスクが作り直され、デプロイが終わらない</t>
        </is>
      </c>
      <c r="B12" s="23" t="inlineStr">
        <is>
          <t>猶予と startPeriod と検査</t>
        </is>
      </c>
      <c r="C12" s="23" t="inlineStr">
        <is>
          <t>検査が成功する前に猶予が終わり、交換が繰り返される。ブレーカーが無効なら再試行が続く。</t>
        </is>
      </c>
      <c r="D12" s="23" t="inlineStr">
        <is>
          <t>猶予を起動完了より長くし、検査は準備完了後に0を返すようにする。enable と rollback。</t>
        </is>
      </c>
      <c r="E12" s="23" t="inlineStr">
        <is>
          <t>高</t>
        </is>
      </c>
    </row>
    <row r="13" ht="38" customHeight="1">
      <c r="A13" s="22" t="inlineStr">
        <is>
          <t>desired 1 なのに失敗が3回出てから戻る</t>
        </is>
      </c>
      <c r="B13" s="23" t="inlineStr">
        <is>
          <t>既定閾値</t>
        </is>
      </c>
      <c r="C13" s="23" t="inlineStr">
        <is>
          <t>BOUNDED_PERCENT 50 の下限は3。</t>
        </is>
      </c>
      <c r="D13" s="23" t="inlineStr">
        <is>
          <t>2026-07 以降は COUNT で 1 や 2 を選べる。戻る先の COMPLETED が必要。</t>
        </is>
      </c>
      <c r="E13" s="23" t="inlineStr">
        <is>
          <t>高</t>
        </is>
      </c>
    </row>
    <row r="14" ht="38" customHeight="1">
      <c r="A14" s="22" t="inlineStr">
        <is>
          <t>ロールバックを有効にしたのに戻らない</t>
        </is>
      </c>
      <c r="B14" s="23" t="inlineStr">
        <is>
          <t>COMPLETED の有無</t>
        </is>
      </c>
      <c r="C14" s="23" t="inlineStr">
        <is>
          <t>戻る先が無い初回デプロイでは、FAILED のまま滞留し、新しいタスクを起動しない。</t>
        </is>
      </c>
      <c r="D14" s="23" t="inlineStr">
        <is>
          <t>describe-services の deployments と rolloutState。</t>
        </is>
      </c>
      <c r="E14" s="23" t="inlineStr">
        <is>
          <t>高</t>
        </is>
      </c>
    </row>
    <row r="15" ht="38" customHeight="1">
      <c r="A15" s="22" t="inlineStr">
        <is>
          <t>午後に1台だけ落ちたのに、サービス全体は前の版に戻らない</t>
        </is>
      </c>
      <c r="B15" s="23" t="inlineStr">
        <is>
          <t>完了後の規則</t>
        </is>
      </c>
      <c r="C15" s="23" t="inlineStr">
        <is>
          <t>COMPLETED 後の故障は、そのタスクの交換だけ。</t>
        </is>
      </c>
      <c r="D15" s="23" t="inlineStr">
        <is>
          <t>デプロイが IN_PROGRESS か COMPLETED か。</t>
        </is>
      </c>
      <c r="E15" s="23" t="inlineStr">
        <is>
          <t>高</t>
        </is>
      </c>
    </row>
    <row r="16" ht="23" customHeight="1">
      <c r="A16" s="22" t="inlineStr">
        <is>
          <t>不健康なのに通信が来続ける</t>
        </is>
      </c>
      <c r="B16" s="23" t="inlineStr">
        <is>
          <t>フェイルオープン</t>
        </is>
      </c>
      <c r="C16" s="23" t="inlineStr">
        <is>
          <t>有効 AZ の healthy が0だと、ALB は全員へ送る。</t>
        </is>
      </c>
      <c r="D16" s="23" t="inlineStr">
        <is>
          <t>HealthyHostCount。最後の1台かどうか。</t>
        </is>
      </c>
      <c r="E16" s="23" t="inlineStr">
        <is>
          <t>高</t>
        </is>
      </c>
    </row>
    <row r="17" ht="23" customHeight="1">
      <c r="A17" s="22" t="inlineStr">
        <is>
          <t>停止を決めたのにコンテナが数分残る</t>
        </is>
      </c>
      <c r="B17" s="23" t="inlineStr">
        <is>
          <t>排出遅延</t>
        </is>
      </c>
      <c r="C17" s="23" t="inlineStr">
        <is>
          <t>DEACTIVATING と draining。既定最大300秒。</t>
        </is>
      </c>
      <c r="D17" s="23" t="inlineStr">
        <is>
          <t>deregistration_delay.timeout_seconds。</t>
        </is>
      </c>
      <c r="E17" s="23" t="inlineStr">
        <is>
          <t>高</t>
        </is>
      </c>
    </row>
    <row r="18" ht="38" customHeight="1">
      <c r="A18" s="22" t="inlineStr">
        <is>
          <t>ヘルスチェックは緑なのにタスクが置き換わる</t>
        </is>
      </c>
      <c r="B18" s="23" t="inlineStr">
        <is>
          <t>別の置換理由</t>
        </is>
      </c>
      <c r="C18" s="23" t="inlineStr">
        <is>
          <t>AZ 再分散、スケールイン、ドレイン、スポット、Fargate の退役、エージェント接続の復旧。</t>
        </is>
      </c>
      <c r="D18" s="23" t="inlineStr">
        <is>
          <t>停止理由と、同時刻に別ゾーンで起動していないか。</t>
        </is>
      </c>
      <c r="E18" s="23" t="inlineStr">
        <is>
          <t>高</t>
        </is>
      </c>
    </row>
    <row r="19" ht="38" customHeight="1">
      <c r="A19" s="24" t="inlineStr">
        <is>
          <t>エージェント再起動の直後にタスクが大量に UNHEALTHY</t>
        </is>
      </c>
      <c r="B19" s="25" t="inlineStr">
        <is>
          <t>切断の仕様</t>
        </is>
      </c>
      <c r="C19" s="25" t="inlineStr">
        <is>
          <t>仕様では、切断だけでは UNHEALTHY にしない。そう見えるなら、再接続後の検査が本当に失敗している。</t>
        </is>
      </c>
      <c r="D19" s="25" t="inlineStr">
        <is>
          <t>エージェントのバージョンが 1.17.0 未満なら、そもそもコンテナ検査を報告できない。</t>
        </is>
      </c>
      <c r="E19" s="25" t="inlineStr">
        <is>
          <t>中</t>
        </is>
      </c>
    </row>
    <row r="20" ht="38" customHeight="1">
      <c r="A20" s="24" t="inlineStr">
        <is>
          <t>Classic LB のサービスで検査を足せない</t>
        </is>
      </c>
      <c r="B20" s="25" t="inlineStr">
        <is>
          <t>非対応</t>
        </is>
      </c>
      <c r="C20" s="25" t="inlineStr">
        <is>
          <t>コンテナヘルスチェックは Classic LB のサービスでは使えない。</t>
        </is>
      </c>
      <c r="D20" s="25" t="inlineStr">
        <is>
          <t>ALB または NLB へ移す。</t>
        </is>
      </c>
      <c r="E20" s="25" t="inlineStr">
        <is>
          <t>中</t>
        </is>
      </c>
    </row>
    <row r="21" ht="23" customHeight="1">
      <c r="A21" s="22" t="inlineStr">
        <is>
          <t>デプロイは健全なのに bake のあと FAILED</t>
        </is>
      </c>
      <c r="B21" s="23" t="inlineStr">
        <is>
          <t>アラーム</t>
        </is>
      </c>
      <c r="C21" s="23" t="inlineStr">
        <is>
          <t>定常後の bake time で指標が ALARM になった。</t>
        </is>
      </c>
      <c r="D21" s="23" t="inlineStr">
        <is>
          <t>どのアラームが triggeredAlarmNames に入ったか。</t>
        </is>
      </c>
      <c r="E21" s="23" t="inlineStr">
        <is>
          <t>高</t>
        </is>
      </c>
    </row>
    <row r="22" ht="38" customHeight="1">
      <c r="A22" s="24" t="inlineStr">
        <is>
          <t>検査は成功なのにデプロイが進まない</t>
        </is>
      </c>
      <c r="B22" s="25" t="inlineStr">
        <is>
          <t>フック</t>
        </is>
      </c>
      <c r="C22" s="25" t="inlineStr">
        <is>
          <t>Lambda が FAILED または IN_PROGRESS、あるいは PAUSE 中。</t>
        </is>
      </c>
      <c r="D22" s="25" t="inlineStr">
        <is>
          <t>ライフサイクル段階と hookStatus。</t>
        </is>
      </c>
      <c r="E22" s="25" t="inlineStr">
        <is>
          <t>中</t>
        </is>
      </c>
    </row>
    <row r="23" ht="38" customHeight="1">
      <c r="A23" s="24" t="inlineStr">
        <is>
          <t>DAEMON のデプロイで一度に半分が止まる</t>
        </is>
      </c>
      <c r="B23" s="25" t="inlineStr">
        <is>
          <t>コンソール既定</t>
        </is>
      </c>
      <c r="C23" s="25" t="inlineStr">
        <is>
          <t>コンソールで作った DAEMON の minimumHealthyPercent 既定は50。API は0。</t>
        </is>
      </c>
      <c r="D23" s="25" t="inlineStr">
        <is>
          <t>サービスの現行値を API で確認する。</t>
        </is>
      </c>
      <c r="E23" s="25" t="inlineStr">
        <is>
          <t>中</t>
        </is>
      </c>
    </row>
    <row r="24" ht="38" customHeight="1">
      <c r="A24" s="22" t="inlineStr">
        <is>
          <t>上限200%なのに新しいタスクが増えない</t>
        </is>
      </c>
      <c r="B24" s="23" t="inlineStr">
        <is>
          <t>容量または別コントローラ</t>
        </is>
      </c>
      <c r="C24" s="23" t="inlineStr">
        <is>
          <t>PENDING のままなら CPU、メモリ、ENI、サブネットの不足。CODE_DEPLOY では maximumPercent の意味が違う。</t>
        </is>
      </c>
      <c r="D24" s="23" t="inlineStr">
        <is>
          <t>stopped reason、イベント、deploymentController。</t>
        </is>
      </c>
      <c r="E24" s="23" t="inlineStr">
        <is>
          <t>高</t>
        </is>
      </c>
    </row>
  </sheetData>
  <autoFilter ref="A4:E24"/>
  <mergeCells count="2">
    <mergeCell ref="A2:E2"/>
    <mergeCell ref="A1:E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15_切り分け</oddHeader>
    <oddFooter>&amp;L&amp;"Meiryo UI"&amp;8 調査基準日 2026-10-02  公式ドキュメントに基づく解説  モノトーン / Meiryo UI&amp;R&amp;"Meiryo UI"&amp;8 &amp;P / &amp;N</oddFooter>
    <evenHeader/>
    <evenFooter/>
    <firstHeader/>
    <firstFooter/>
  </headerFooter>
</worksheet>
</file>

<file path=xl/worksheets/sheet17.xml><?xml version="1.0" encoding="utf-8"?>
<worksheet xmlns="http://schemas.openxmlformats.org/spreadsheetml/2006/main">
  <sheetPr>
    <tabColor rgb="004A4A4A"/>
    <outlinePr summaryBelow="1" summaryRight="1"/>
    <pageSetUpPr fitToPage="1"/>
  </sheetPr>
  <dimension ref="A1:D36"/>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32" customWidth="1" min="1" max="1"/>
    <col width="78" customWidth="1" min="2" max="2"/>
    <col width="16" customWidth="1" min="3" max="3"/>
    <col width="12" customWidth="1" min="4" max="4"/>
  </cols>
  <sheetData>
    <row r="1" ht="32" customHeight="1">
      <c r="A1" s="17" t="inlineStr">
        <is>
          <t>用語</t>
        </is>
      </c>
      <c r="B1" s="18" t="n"/>
      <c r="C1" s="18" t="n"/>
      <c r="D1" s="18" t="n"/>
    </row>
    <row r="2" ht="34" customHeight="1">
      <c r="A2" s="19" t="inlineStr">
        <is>
          <t>同じ「不健康」でも、コンテナ、ターゲット、デプロイのどれかを先に決めます。</t>
        </is>
      </c>
      <c r="B2" s="18" t="n"/>
      <c r="C2" s="18" t="n"/>
      <c r="D2" s="18" t="n"/>
    </row>
    <row r="3" ht="8" customHeight="1">
      <c r="A3" s="18" t="n"/>
      <c r="B3" s="18" t="n"/>
      <c r="C3" s="18" t="n"/>
      <c r="D3" s="18" t="n"/>
    </row>
    <row r="4" ht="32" customHeight="1">
      <c r="A4" s="9" t="inlineStr">
        <is>
          <t>用語</t>
        </is>
      </c>
      <c r="B4" s="9" t="inlineStr">
        <is>
          <t>一行の定義</t>
        </is>
      </c>
      <c r="C4" s="9" t="inlineStr">
        <is>
          <t>属する層</t>
        </is>
      </c>
      <c r="D4" s="9" t="inlineStr">
        <is>
          <t>重要度</t>
        </is>
      </c>
    </row>
    <row r="5" ht="23" customHeight="1">
      <c r="A5" s="22" t="inlineStr">
        <is>
          <t>タスク</t>
        </is>
      </c>
      <c r="B5" s="23" t="inlineStr">
        <is>
          <t>一緒にスケジュールされるコンテナの組。交換の単位。</t>
        </is>
      </c>
      <c r="C5" s="23" t="inlineStr">
        <is>
          <t>全体</t>
        </is>
      </c>
      <c r="D5" s="23" t="inlineStr">
        <is>
          <t>高</t>
        </is>
      </c>
    </row>
    <row r="6" ht="23" customHeight="1">
      <c r="A6" s="22" t="inlineStr">
        <is>
          <t>必須コンテナ</t>
        </is>
      </c>
      <c r="B6" s="23" t="inlineStr">
        <is>
          <t>essential。省略時は true。このコンテナの失敗がタスクへ波及する。</t>
        </is>
      </c>
      <c r="C6" s="23" t="inlineStr">
        <is>
          <t>コンテナ</t>
        </is>
      </c>
      <c r="D6" s="23" t="inlineStr">
        <is>
          <t>高</t>
        </is>
      </c>
    </row>
    <row r="7" ht="23" customHeight="1">
      <c r="A7" s="22" t="inlineStr">
        <is>
          <t>healthStatus</t>
        </is>
      </c>
      <c r="B7" s="23" t="inlineStr">
        <is>
          <t>HEALTHY、UNHEALTHY、UNKNOWN。コンテナにもタスクにも付く。</t>
        </is>
      </c>
      <c r="C7" s="23" t="inlineStr">
        <is>
          <t>コンテナ</t>
        </is>
      </c>
      <c r="D7" s="23" t="inlineStr">
        <is>
          <t>高</t>
        </is>
      </c>
    </row>
    <row r="8" ht="23" customHeight="1">
      <c r="A8" s="22" t="inlineStr">
        <is>
          <t>CMD / CMD-SHELL</t>
        </is>
      </c>
      <c r="B8" s="23" t="inlineStr">
        <is>
          <t>検査コマンドを直接実行するか、既定シェル経由で実行するか。</t>
        </is>
      </c>
      <c r="C8" s="23" t="inlineStr">
        <is>
          <t>コンテナ</t>
        </is>
      </c>
      <c r="D8" s="23" t="inlineStr">
        <is>
          <t>高</t>
        </is>
      </c>
    </row>
    <row r="9" ht="23" customHeight="1">
      <c r="A9" s="22" t="inlineStr">
        <is>
          <t>retries</t>
        </is>
      </c>
      <c r="B9" s="23" t="inlineStr">
        <is>
          <t>UNHEALTHY にするために必要な連続失敗回数。既定3。追加回数ではない。</t>
        </is>
      </c>
      <c r="C9" s="23" t="inlineStr">
        <is>
          <t>コンテナ</t>
        </is>
      </c>
      <c r="D9" s="23" t="inlineStr">
        <is>
          <t>高</t>
        </is>
      </c>
    </row>
    <row r="10" ht="23" customHeight="1">
      <c r="A10" s="22" t="inlineStr">
        <is>
          <t>startPeriod</t>
        </is>
      </c>
      <c r="B10" s="23" t="inlineStr">
        <is>
          <t>失敗を連続回数へ数えない秒数。0〜300。成功した瞬間に健康へ進む。</t>
        </is>
      </c>
      <c r="C10" s="23" t="inlineStr">
        <is>
          <t>コンテナ</t>
        </is>
      </c>
      <c r="D10" s="23" t="inlineStr">
        <is>
          <t>高</t>
        </is>
      </c>
    </row>
    <row r="11" ht="23" customHeight="1">
      <c r="A11" s="24" t="inlineStr">
        <is>
          <t>interval / timeout</t>
        </is>
      </c>
      <c r="B11" s="25" t="inlineStr">
        <is>
          <t>検査の間隔と、1回の待ち時間。コンテナ既定は30秒と5秒。</t>
        </is>
      </c>
      <c r="C11" s="25" t="inlineStr">
        <is>
          <t>コンテナ</t>
        </is>
      </c>
      <c r="D11" s="25" t="inlineStr">
        <is>
          <t>中</t>
        </is>
      </c>
    </row>
    <row r="12" ht="23" customHeight="1">
      <c r="A12" s="22" t="inlineStr">
        <is>
          <t>ターゲットグループ</t>
        </is>
      </c>
      <c r="B12" s="23" t="inlineStr">
        <is>
          <t>ALB / NLB が検査し、通信を配る登録先。</t>
        </is>
      </c>
      <c r="C12" s="23" t="inlineStr">
        <is>
          <t>受付</t>
        </is>
      </c>
      <c r="D12" s="23" t="inlineStr">
        <is>
          <t>高</t>
        </is>
      </c>
    </row>
    <row r="13" ht="23" customHeight="1">
      <c r="A13" s="22" t="inlineStr">
        <is>
          <t>initial</t>
        </is>
      </c>
      <c r="B13" s="23" t="inlineStr">
        <is>
          <t>ターゲットの登録直後、初期検査中。</t>
        </is>
      </c>
      <c r="C13" s="23" t="inlineStr">
        <is>
          <t>受付</t>
        </is>
      </c>
      <c r="D13" s="23" t="inlineStr">
        <is>
          <t>高</t>
        </is>
      </c>
    </row>
    <row r="14" ht="23" customHeight="1">
      <c r="A14" s="22" t="inlineStr">
        <is>
          <t>新規は成功1回</t>
        </is>
      </c>
      <c r="B14" s="23" t="inlineStr">
        <is>
          <t>新しく登録されたターゲットは、正常しきい値が5でも1回の成功で healthy。</t>
        </is>
      </c>
      <c r="C14" s="23" t="inlineStr">
        <is>
          <t>受付</t>
        </is>
      </c>
      <c r="D14" s="23" t="inlineStr">
        <is>
          <t>高</t>
        </is>
      </c>
    </row>
    <row r="15" ht="23" customHeight="1">
      <c r="A15" s="22" t="inlineStr">
        <is>
          <t>HealthyThresholdCount</t>
        </is>
      </c>
      <c r="B15" s="23" t="inlineStr">
        <is>
          <t>unhealthy から戻るときの連続成功回数。既定5。</t>
        </is>
      </c>
      <c r="C15" s="23" t="inlineStr">
        <is>
          <t>受付</t>
        </is>
      </c>
      <c r="D15" s="23" t="inlineStr">
        <is>
          <t>高</t>
        </is>
      </c>
    </row>
    <row r="16" ht="23" customHeight="1">
      <c r="A16" s="22" t="inlineStr">
        <is>
          <t>UnhealthyThresholdCount</t>
        </is>
      </c>
      <c r="B16" s="23" t="inlineStr">
        <is>
          <t>unhealthy へ落ちるときの連続失敗回数。既定2。</t>
        </is>
      </c>
      <c r="C16" s="23" t="inlineStr">
        <is>
          <t>受付</t>
        </is>
      </c>
      <c r="D16" s="23" t="inlineStr">
        <is>
          <t>高</t>
        </is>
      </c>
    </row>
    <row r="17" ht="23" customHeight="1">
      <c r="A17" s="22" t="inlineStr">
        <is>
          <t>Matcher</t>
        </is>
      </c>
      <c r="B17" s="23" t="inlineStr">
        <is>
          <t>成功とみなす応答コード。ALB の HTTP 既定は200。</t>
        </is>
      </c>
      <c r="C17" s="23" t="inlineStr">
        <is>
          <t>受付</t>
        </is>
      </c>
      <c r="D17" s="23" t="inlineStr">
        <is>
          <t>高</t>
        </is>
      </c>
    </row>
    <row r="18" ht="23" customHeight="1">
      <c r="A18" s="22" t="inlineStr">
        <is>
          <t>draining</t>
        </is>
      </c>
      <c r="B18" s="23" t="inlineStr">
        <is>
          <t>登録解除後、既存接続を排出している状態。</t>
        </is>
      </c>
      <c r="C18" s="23" t="inlineStr">
        <is>
          <t>受付</t>
        </is>
      </c>
      <c r="D18" s="23" t="inlineStr">
        <is>
          <t>高</t>
        </is>
      </c>
    </row>
    <row r="19" ht="23" customHeight="1">
      <c r="A19" s="22" t="inlineStr">
        <is>
          <t>排出遅延</t>
        </is>
      </c>
      <c r="B19" s="23" t="inlineStr">
        <is>
          <t>deregistration_delay.timeout_seconds。既定300秒、最大3600秒。</t>
        </is>
      </c>
      <c r="C19" s="23" t="inlineStr">
        <is>
          <t>受付</t>
        </is>
      </c>
      <c r="D19" s="23" t="inlineStr">
        <is>
          <t>高</t>
        </is>
      </c>
    </row>
    <row r="20" ht="23" customHeight="1">
      <c r="A20" s="22" t="inlineStr">
        <is>
          <t>フェイルオープン</t>
        </is>
      </c>
      <c r="B20" s="23" t="inlineStr">
        <is>
          <t>healthy が一人もいないとき、ALB が全員へ通信を送る動作。</t>
        </is>
      </c>
      <c r="C20" s="23" t="inlineStr">
        <is>
          <t>受付</t>
        </is>
      </c>
      <c r="D20" s="23" t="inlineStr">
        <is>
          <t>高</t>
        </is>
      </c>
    </row>
    <row r="21" ht="23" customHeight="1">
      <c r="A21" s="22" t="inlineStr">
        <is>
          <t>猶予期間</t>
        </is>
      </c>
      <c r="B21" s="23" t="inlineStr">
        <is>
          <t>healthCheckGracePeriodSeconds。職員室が起動直後の不健康で止めない秒数。既定0。</t>
        </is>
      </c>
      <c r="C21" s="23" t="inlineStr">
        <is>
          <t>サービス</t>
        </is>
      </c>
      <c r="D21" s="23" t="inlineStr">
        <is>
          <t>高</t>
        </is>
      </c>
    </row>
    <row r="22" ht="23" customHeight="1">
      <c r="A22" s="22" t="inlineStr">
        <is>
          <t>40秒ルール</t>
        </is>
      </c>
      <c r="B22" s="23" t="inlineStr">
        <is>
          <t>検査も LB も無いタスクを、RUNNING の40秒後に健全数へ数える規則。</t>
        </is>
      </c>
      <c r="C22" s="23" t="inlineStr">
        <is>
          <t>サービス</t>
        </is>
      </c>
      <c r="D22" s="23" t="inlineStr">
        <is>
          <t>高</t>
        </is>
      </c>
    </row>
    <row r="23" ht="23" customHeight="1">
      <c r="A23" s="22" t="inlineStr">
        <is>
          <t>desiredCount</t>
        </is>
      </c>
      <c r="B23" s="23" t="inlineStr">
        <is>
          <t>維持したいタスク数。百分率閾値の母数。</t>
        </is>
      </c>
      <c r="C23" s="23" t="inlineStr">
        <is>
          <t>サービス</t>
        </is>
      </c>
      <c r="D23" s="23" t="inlineStr">
        <is>
          <t>高</t>
        </is>
      </c>
    </row>
    <row r="24" ht="23" customHeight="1">
      <c r="A24" s="22" t="inlineStr">
        <is>
          <t>maximumPercent</t>
        </is>
      </c>
      <c r="B24" s="23" t="inlineStr">
        <is>
          <t>同時に存在してよいタスク数の上限百分率。台数は切り捨て。REPLICA 既定200。</t>
        </is>
      </c>
      <c r="C24" s="23" t="inlineStr">
        <is>
          <t>サービス</t>
        </is>
      </c>
      <c r="D24" s="23" t="inlineStr">
        <is>
          <t>高</t>
        </is>
      </c>
    </row>
    <row r="25" ht="23" customHeight="1">
      <c r="A25" s="22" t="inlineStr">
        <is>
          <t>minimumHealthyPercent</t>
        </is>
      </c>
      <c r="B25" s="23" t="inlineStr">
        <is>
          <t>残す RUNNING の下限百分率。台数は切り上げ。REPLICA 既定100。</t>
        </is>
      </c>
      <c r="C25" s="23" t="inlineStr">
        <is>
          <t>サービス</t>
        </is>
      </c>
      <c r="D25" s="23" t="inlineStr">
        <is>
          <t>高</t>
        </is>
      </c>
    </row>
    <row r="26" ht="23" customHeight="1">
      <c r="A26" s="22" t="inlineStr">
        <is>
          <t>置換ファースト</t>
        </is>
      </c>
      <c r="B26" s="23" t="inlineStr">
        <is>
          <t>2023-10-23 以降。枠があれば代わりを先に起動し、健全化してから古いタスクを止める。</t>
        </is>
      </c>
      <c r="C26" s="23" t="inlineStr">
        <is>
          <t>サービス</t>
        </is>
      </c>
      <c r="D26" s="23" t="inlineStr">
        <is>
          <t>高</t>
        </is>
      </c>
    </row>
    <row r="27" ht="23" customHeight="1">
      <c r="A27" s="22" t="inlineStr">
        <is>
          <t>サーキットブレーカー</t>
        </is>
      </c>
      <c r="B27" s="23" t="inlineStr">
        <is>
          <t>進行中デプロイの失敗回数が閾値で、そのデプロイを FAILED にする仕組み。</t>
        </is>
      </c>
      <c r="C27" s="23" t="inlineStr">
        <is>
          <t>デプロイ</t>
        </is>
      </c>
      <c r="D27" s="23" t="inlineStr">
        <is>
          <t>高</t>
        </is>
      </c>
    </row>
    <row r="28" ht="23" customHeight="1">
      <c r="A28" s="22" t="inlineStr">
        <is>
          <t>rolloutState</t>
        </is>
      </c>
      <c r="B28" s="23" t="inlineStr">
        <is>
          <t>IN_PROGRESS、COMPLETED、FAILED。</t>
        </is>
      </c>
      <c r="C28" s="23" t="inlineStr">
        <is>
          <t>デプロイ</t>
        </is>
      </c>
      <c r="D28" s="23" t="inlineStr">
        <is>
          <t>高</t>
        </is>
      </c>
    </row>
    <row r="29" ht="23" customHeight="1">
      <c r="A29" s="22" t="inlineStr">
        <is>
          <t>resetOnHealthyTask</t>
        </is>
      </c>
      <c r="B29" s="23" t="inlineStr">
        <is>
          <t>健全なタスクで失敗カウントを0に戻すか。既定 true。</t>
        </is>
      </c>
      <c r="C29" s="23" t="inlineStr">
        <is>
          <t>デプロイ</t>
        </is>
      </c>
      <c r="D29" s="23" t="inlineStr">
        <is>
          <t>高</t>
        </is>
      </c>
    </row>
    <row r="30" ht="23" customHeight="1">
      <c r="A30" s="22" t="inlineStr">
        <is>
          <t>BOUNDED_PERCENT</t>
        </is>
      </c>
      <c r="B30" s="23" t="inlineStr">
        <is>
          <t>百分率閾値を3以上200以下に収める。既定タイプ、既定 value は50。</t>
        </is>
      </c>
      <c r="C30" s="23" t="inlineStr">
        <is>
          <t>デプロイ</t>
        </is>
      </c>
      <c r="D30" s="23" t="inlineStr">
        <is>
          <t>高</t>
        </is>
      </c>
    </row>
    <row r="31" ht="23" customHeight="1">
      <c r="A31" s="24" t="inlineStr">
        <is>
          <t>UNBOUNDED_PERCENT</t>
        </is>
      </c>
      <c r="B31" s="25" t="inlineStr">
        <is>
          <t>同じ百分率で、下限も上限も付けない。2026-07-01。</t>
        </is>
      </c>
      <c r="C31" s="25" t="inlineStr">
        <is>
          <t>デプロイ</t>
        </is>
      </c>
      <c r="D31" s="25" t="inlineStr">
        <is>
          <t>中</t>
        </is>
      </c>
    </row>
    <row r="32" ht="23" customHeight="1">
      <c r="A32" s="24" t="inlineStr">
        <is>
          <t>COUNT</t>
        </is>
      </c>
      <c r="B32" s="25" t="inlineStr">
        <is>
          <t>失敗回数そのものを閾値にする。2026-07-01。</t>
        </is>
      </c>
      <c r="C32" s="25" t="inlineStr">
        <is>
          <t>デプロイ</t>
        </is>
      </c>
      <c r="D32" s="25" t="inlineStr">
        <is>
          <t>中</t>
        </is>
      </c>
    </row>
    <row r="33" ht="23" customHeight="1">
      <c r="A33" s="22" t="inlineStr">
        <is>
          <t>bake time</t>
        </is>
      </c>
      <c r="B33" s="23" t="inlineStr">
        <is>
          <t>定常後、またはトラフィック移動後に、完了や古いタスクの削除を遅らせる観察時間。</t>
        </is>
      </c>
      <c r="C33" s="23" t="inlineStr">
        <is>
          <t>デプロイ</t>
        </is>
      </c>
      <c r="D33" s="23" t="inlineStr">
        <is>
          <t>高</t>
        </is>
      </c>
    </row>
    <row r="34" ht="38" customHeight="1">
      <c r="A34" s="24" t="inlineStr">
        <is>
          <t>early success criteria</t>
        </is>
      </c>
      <c r="B34" s="25" t="inlineStr">
        <is>
          <t>新しいリビジョンの一部が健全なら、ローリングを完了できる設定。完了後は自動ロールバックが止まる。</t>
        </is>
      </c>
      <c r="C34" s="25" t="inlineStr">
        <is>
          <t>デプロイ</t>
        </is>
      </c>
      <c r="D34" s="25" t="inlineStr">
        <is>
          <t>中</t>
        </is>
      </c>
    </row>
    <row r="35" ht="23" customHeight="1">
      <c r="A35" s="24" t="inlineStr">
        <is>
          <t>AGENT_CONNECTIVITY</t>
        </is>
      </c>
      <c r="B35" s="25" t="inlineStr">
        <is>
          <t>アプリ検査とは別の、エージェント接続の健康。2026-08-24。</t>
        </is>
      </c>
      <c r="C35" s="25" t="inlineStr">
        <is>
          <t>土台</t>
        </is>
      </c>
      <c r="D35" s="25" t="inlineStr">
        <is>
          <t>中</t>
        </is>
      </c>
    </row>
    <row r="36" ht="23" customHeight="1">
      <c r="A36" s="24" t="inlineStr">
        <is>
          <t>AZ 再分散</t>
        </is>
      </c>
      <c r="B36" s="25" t="inlineStr">
        <is>
          <t>ゾーンの偏りを直すための起動と停止。ヘルスチェック失敗ではない。</t>
        </is>
      </c>
      <c r="C36" s="25" t="inlineStr">
        <is>
          <t>土台</t>
        </is>
      </c>
      <c r="D36" s="25" t="inlineStr">
        <is>
          <t>中</t>
        </is>
      </c>
    </row>
  </sheetData>
  <autoFilter ref="A4:D36"/>
  <mergeCells count="2">
    <mergeCell ref="A1:D1"/>
    <mergeCell ref="A2:D2"/>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16_用語</oddHeader>
    <oddFooter>&amp;L&amp;"Meiryo UI"&amp;8 調査基準日 2026-10-02  公式ドキュメントに基づく解説  モノトーン / Meiryo UI&amp;R&amp;"Meiryo UI"&amp;8 &amp;P / &amp;N</oddFooter>
    <evenHeader/>
    <evenFooter/>
    <firstHeader/>
    <firstFooter/>
  </headerFooter>
</worksheet>
</file>

<file path=xl/worksheets/sheet18.xml><?xml version="1.0" encoding="utf-8"?>
<worksheet xmlns="http://schemas.openxmlformats.org/spreadsheetml/2006/main">
  <sheetPr>
    <tabColor rgb="004A4A4A"/>
    <outlinePr summaryBelow="1" summaryRight="1"/>
    <pageSetUpPr fitToPage="1"/>
  </sheetPr>
  <dimension ref="A1:F28"/>
  <sheetViews>
    <sheetView showGridLines="0" view="normal" zoomScale="110" workbookViewId="0">
      <pane ySplit="4" topLeftCell="A5" activePane="bottomLeft" state="frozen"/>
      <selection pane="bottomLeft" activeCell="A1" sqref="A1"/>
    </sheetView>
  </sheetViews>
  <sheetFormatPr baseColWidth="8" defaultColWidth="12" defaultRowHeight="18"/>
  <cols>
    <col width="18" customWidth="1" min="1" max="1"/>
    <col width="42" customWidth="1" min="2" max="2"/>
    <col width="36" customWidth="1" min="3" max="3"/>
    <col width="62" customWidth="1" min="4" max="4"/>
    <col width="55" customWidth="1" min="5" max="5"/>
    <col width="12" customWidth="1" min="6" max="6"/>
  </cols>
  <sheetData>
    <row r="1" ht="32" customHeight="1">
      <c r="A1" s="17" t="inlineStr">
        <is>
          <t>参照した一次情報</t>
        </is>
      </c>
      <c r="B1" s="18" t="n"/>
      <c r="C1" s="18" t="n"/>
      <c r="D1" s="18" t="n"/>
      <c r="E1" s="18" t="n"/>
      <c r="F1" s="18" t="n"/>
    </row>
    <row r="2" ht="34" customHeight="1">
      <c r="A2" s="19" t="inlineStr">
        <is>
          <t>このブックは、記載の公開文書から起こしています。利用中サービスの数値は、そのサービスの API 応答が正です。</t>
        </is>
      </c>
      <c r="B2" s="18" t="n"/>
      <c r="C2" s="18" t="n"/>
      <c r="D2" s="18" t="n"/>
      <c r="E2" s="18" t="n"/>
      <c r="F2" s="18" t="n"/>
    </row>
    <row r="3" ht="8" customHeight="1">
      <c r="A3" s="18" t="n"/>
      <c r="B3" s="18" t="n"/>
      <c r="C3" s="18" t="n"/>
      <c r="D3" s="18" t="n"/>
      <c r="E3" s="18" t="n"/>
      <c r="F3" s="18" t="n"/>
    </row>
    <row r="4" ht="32" customHeight="1">
      <c r="A4" s="9" t="inlineStr">
        <is>
          <t>種別</t>
        </is>
      </c>
      <c r="B4" s="9" t="inlineStr">
        <is>
          <t>題名または出来事</t>
        </is>
      </c>
      <c r="C4" s="9" t="inlineStr">
        <is>
          <t>日付または確認</t>
        </is>
      </c>
      <c r="D4" s="9" t="inlineStr">
        <is>
          <t>URL または所在</t>
        </is>
      </c>
      <c r="E4" s="9" t="inlineStr">
        <is>
          <t>この文書で使った点</t>
        </is>
      </c>
      <c r="F4" s="9" t="inlineStr">
        <is>
          <t>重要度</t>
        </is>
      </c>
    </row>
    <row r="5" ht="38" customHeight="1">
      <c r="A5" s="22" t="inlineStr">
        <is>
          <t>ガイド</t>
        </is>
      </c>
      <c r="B5" s="23" t="inlineStr">
        <is>
          <t>Determine task health using container health checks</t>
        </is>
      </c>
      <c r="C5" s="23" t="inlineStr">
        <is>
          <t>ページ表示は 2026-10-01 前後。確認 2026-10-02</t>
        </is>
      </c>
      <c r="D5" s="23" t="inlineStr">
        <is>
          <t>https://docs.aws.amazon.com/AmazonECS/latest/developerguide/healthcheck.html</t>
        </is>
      </c>
      <c r="E5" s="23" t="inlineStr">
        <is>
          <t>タスク健康の優先順位、エージェント切断、コマンドの説明。</t>
        </is>
      </c>
      <c r="F5" s="23" t="inlineStr">
        <is>
          <t>高</t>
        </is>
      </c>
    </row>
    <row r="6" ht="38" customHeight="1">
      <c r="A6" s="22" t="inlineStr">
        <is>
          <t>API</t>
        </is>
      </c>
      <c r="B6" s="23" t="inlineStr">
        <is>
          <t>HealthCheck</t>
        </is>
      </c>
      <c r="C6" s="23" t="inlineStr">
        <is>
          <t>確認 2026-10-02</t>
        </is>
      </c>
      <c r="D6" s="23" t="inlineStr">
        <is>
          <t>https://docs.aws.amazon.com/AmazonECS/latest/APIReference/API_HealthCheck.html</t>
        </is>
      </c>
      <c r="E6" s="23" t="inlineStr">
        <is>
          <t>パラメータ範囲、サービスなら停止して交換、単独タスクは継続、Classic LB 非対応、状態遷移。</t>
        </is>
      </c>
      <c r="F6" s="23" t="inlineStr">
        <is>
          <t>高</t>
        </is>
      </c>
    </row>
    <row r="7" ht="38" customHeight="1">
      <c r="A7" s="22" t="inlineStr">
        <is>
          <t>ガイド</t>
        </is>
      </c>
      <c r="B7" s="23" t="inlineStr">
        <is>
          <t>Service definition parameters</t>
        </is>
      </c>
      <c r="C7" s="23" t="inlineStr">
        <is>
          <t>確認 2026-10-02</t>
        </is>
      </c>
      <c r="D7" s="23" t="inlineStr">
        <is>
          <t>https://docs.aws.amazon.com/AmazonECS/latest/developerguide/service_definition_parameters.html</t>
        </is>
      </c>
      <c r="E7" s="23" t="inlineStr">
        <is>
          <t>人数の丸め、40秒、LB 有無での健全カウント、猶予の対象、early success。</t>
        </is>
      </c>
      <c r="F7" s="23" t="inlineStr">
        <is>
          <t>高</t>
        </is>
      </c>
    </row>
    <row r="8" ht="38" customHeight="1">
      <c r="A8" s="22" t="inlineStr">
        <is>
          <t>ガイド</t>
        </is>
      </c>
      <c r="B8" s="23" t="inlineStr">
        <is>
          <t>How the deployment circuit breaker detects failures</t>
        </is>
      </c>
      <c r="C8" s="23" t="inlineStr">
        <is>
          <t>確認 2026-10-02。ページは 2026-10-01</t>
        </is>
      </c>
      <c r="D8" s="23" t="inlineStr">
        <is>
          <t>https://docs.aws.amazon.com/AmazonECS/latest/developerguide/deployment-circuit-breaker.html</t>
        </is>
      </c>
      <c r="E8" s="23" t="inlineStr">
        <is>
          <t>二段階、resetOnHealthyTask、三タイプの閾値、公式の計算例。</t>
        </is>
      </c>
      <c r="F8" s="23" t="inlineStr">
        <is>
          <t>高</t>
        </is>
      </c>
    </row>
    <row r="9" ht="38" customHeight="1">
      <c r="A9" s="22" t="inlineStr">
        <is>
          <t>API</t>
        </is>
      </c>
      <c r="B9" s="23" t="inlineStr">
        <is>
          <t>DeploymentCircuitBreaker / ThresholdConfiguration</t>
        </is>
      </c>
      <c r="C9" s="23" t="inlineStr">
        <is>
          <t>確認 2026-10-02</t>
        </is>
      </c>
      <c r="D9" s="23" t="inlineStr">
        <is>
          <t>Amazon ECS API Reference</t>
        </is>
      </c>
      <c r="E9" s="23" t="inlineStr">
        <is>
          <t>enable と rollback の分離。ローリング向けという注記が残っている点。</t>
        </is>
      </c>
      <c r="F9" s="23" t="inlineStr">
        <is>
          <t>高</t>
        </is>
      </c>
    </row>
    <row r="10" ht="38" customHeight="1">
      <c r="A10" s="22" t="inlineStr">
        <is>
          <t>ガイド</t>
        </is>
      </c>
      <c r="B10" s="23" t="inlineStr">
        <is>
          <t>Deployment failure detection</t>
        </is>
      </c>
      <c r="C10" s="23" t="inlineStr">
        <is>
          <t>2026-10-01</t>
        </is>
      </c>
      <c r="D10" s="23" t="inlineStr">
        <is>
          <t>https://docs.aws.amazon.com/AmazonECS/latest/developerguide/deployment-failure-detection.html</t>
        </is>
      </c>
      <c r="E10" s="23" t="inlineStr">
        <is>
          <t>ブレーカーとアラームの併用、完了後はロールバックしない、ローリングと blue/green。</t>
        </is>
      </c>
      <c r="F10" s="23" t="inlineStr">
        <is>
          <t>高</t>
        </is>
      </c>
    </row>
    <row r="11" ht="38" customHeight="1">
      <c r="A11" s="22" t="inlineStr">
        <is>
          <t>ガイド</t>
        </is>
      </c>
      <c r="B11" s="23" t="inlineStr">
        <is>
          <t>Optimize load balancer health check parameters</t>
        </is>
      </c>
      <c r="C11" s="23" t="inlineStr">
        <is>
          <t>確認 2026-10-02</t>
        </is>
      </c>
      <c r="D11" s="23" t="inlineStr">
        <is>
          <t>https://docs.aws.amazon.com/AmazonECS/latest/developerguide/load-balancer-healthcheck.html</t>
        </is>
      </c>
      <c r="E11" s="23" t="inlineStr">
        <is>
          <t>新規は成功1回。戻るときは HealthyThresholdCount。既定で150秒の例。</t>
        </is>
      </c>
      <c r="F11" s="23" t="inlineStr">
        <is>
          <t>高</t>
        </is>
      </c>
    </row>
    <row r="12" ht="38" customHeight="1">
      <c r="A12" s="22" t="inlineStr">
        <is>
          <t>ガイド</t>
        </is>
      </c>
      <c r="B12" s="23" t="inlineStr">
        <is>
          <t>ALB target group health checks</t>
        </is>
      </c>
      <c r="C12" s="23" t="inlineStr">
        <is>
          <t>確認 2026-10-02</t>
        </is>
      </c>
      <c r="D12" s="23" t="inlineStr">
        <is>
          <t>https://docs.aws.amazon.com/elasticloadbalancing/latest/application/target-group-health-checks.html</t>
        </is>
      </c>
      <c r="E12" s="23" t="inlineStr">
        <is>
          <t>全パラメータ、状態、理由コード、フェイルオープン。</t>
        </is>
      </c>
      <c r="F12" s="23" t="inlineStr">
        <is>
          <t>高</t>
        </is>
      </c>
    </row>
    <row r="13" ht="38" customHeight="1">
      <c r="A13" s="24" t="inlineStr">
        <is>
          <t>ガイド</t>
        </is>
      </c>
      <c r="B13" s="25" t="inlineStr">
        <is>
          <t>NLB target group health checks</t>
        </is>
      </c>
      <c r="C13" s="25" t="inlineStr">
        <is>
          <t>確認 2026-10-02</t>
        </is>
      </c>
      <c r="D13" s="25" t="inlineStr">
        <is>
          <t>https://docs.aws.amazon.com/elasticloadbalancing/latest/network/target-group-health-checks.html</t>
        </is>
      </c>
      <c r="E13" s="25" t="inlineStr">
        <is>
          <t>合意で回数が増えること、Matcher 既定 200-399、タイムアウト既定。</t>
        </is>
      </c>
      <c r="F13" s="25" t="inlineStr">
        <is>
          <t>中</t>
        </is>
      </c>
    </row>
    <row r="14" ht="38" customHeight="1">
      <c r="A14" s="22" t="inlineStr">
        <is>
          <t>ガイド</t>
        </is>
      </c>
      <c r="B14" s="23" t="inlineStr">
        <is>
          <t>Target group attributes</t>
        </is>
      </c>
      <c r="C14" s="23" t="inlineStr">
        <is>
          <t>確認 2026-10-02</t>
        </is>
      </c>
      <c r="D14" s="23" t="inlineStr">
        <is>
          <t>Elastic Load Balancing User Guide のターゲットグループ</t>
        </is>
      </c>
      <c r="E14" s="23" t="inlineStr">
        <is>
          <t>排出遅延の既定300、範囲0〜3600。unhealthy state routing。</t>
        </is>
      </c>
      <c r="F14" s="23" t="inlineStr">
        <is>
          <t>高</t>
        </is>
      </c>
    </row>
    <row r="15" ht="38" customHeight="1">
      <c r="A15" s="22" t="inlineStr">
        <is>
          <t>What's New</t>
        </is>
      </c>
      <c r="B15" s="23" t="inlineStr">
        <is>
          <t>ELB health check grace period</t>
        </is>
      </c>
      <c r="C15" s="23" t="inlineStr">
        <is>
          <t>2017-12-27</t>
        </is>
      </c>
      <c r="D15" s="23" t="inlineStr">
        <is>
          <t>https://aws.amazon.com/about-aws/whats-new/2017/12/amazon-ecs-adds-elb-health-check-grace-period/</t>
        </is>
      </c>
      <c r="E15" s="23" t="inlineStr">
        <is>
          <t>当時は ELB の不健康で早く止めすぎる問題への対策、と発表。</t>
        </is>
      </c>
      <c r="F15" s="23" t="inlineStr">
        <is>
          <t>高</t>
        </is>
      </c>
    </row>
    <row r="16" ht="38" customHeight="1">
      <c r="A16" s="22" t="inlineStr">
        <is>
          <t>What's New</t>
        </is>
      </c>
      <c r="B16" s="23" t="inlineStr">
        <is>
          <t>Container health checks</t>
        </is>
      </c>
      <c r="C16" s="23" t="inlineStr">
        <is>
          <t>2018-03-08</t>
        </is>
      </c>
      <c r="D16" s="23" t="inlineStr">
        <is>
          <t>https://aws.amazon.com/about-aws/whats-new/2018/03/amazon-ecs-supports-container-health-checks-and-task-health-mana/</t>
        </is>
      </c>
      <c r="E16" s="23" t="inlineStr">
        <is>
          <t>LB 依存だったことと、必須コンテナの健康をスケジューラへ結んだこと。</t>
        </is>
      </c>
      <c r="F16" s="23" t="inlineStr">
        <is>
          <t>高</t>
        </is>
      </c>
    </row>
    <row r="17" ht="38" customHeight="1">
      <c r="A17" s="22" t="inlineStr">
        <is>
          <t>ブログ / What's New</t>
        </is>
      </c>
      <c r="B17" s="23" t="inlineStr">
        <is>
          <t>Deployment circuit breaker</t>
        </is>
      </c>
      <c r="C17" s="23" t="inlineStr">
        <is>
          <t>ブログ 2020-11-30、GA 2020-12-22</t>
        </is>
      </c>
      <c r="D17" s="23" t="inlineStr">
        <is>
          <t>aws.amazon.com/blogs/containers と What's New</t>
        </is>
      </c>
      <c r="E17" s="23" t="inlineStr">
        <is>
          <t>終わりない再試行が動機。当時の下限は10。</t>
        </is>
      </c>
      <c r="F17" s="23" t="inlineStr">
        <is>
          <t>高</t>
        </is>
      </c>
    </row>
    <row r="18" ht="38" customHeight="1">
      <c r="A18" s="22" t="inlineStr">
        <is>
          <t>What's New</t>
        </is>
      </c>
      <c r="B18" s="23" t="inlineStr">
        <is>
          <t>CloudWatch alarms for deployments</t>
        </is>
      </c>
      <c r="C18" s="23" t="inlineStr">
        <is>
          <t>2022-12-20</t>
        </is>
      </c>
      <c r="D18" s="23" t="inlineStr">
        <is>
          <t>https://aws.amazon.com/about-aws/whats-new/2022/12/amazon-ecs-cloudwatch-alarms-safety-deployments/</t>
        </is>
      </c>
      <c r="E18" s="23" t="inlineStr">
        <is>
          <t>検査を通る性能劣化と、bake time。</t>
        </is>
      </c>
      <c r="F18" s="23" t="inlineStr">
        <is>
          <t>高</t>
        </is>
      </c>
    </row>
    <row r="19" ht="38" customHeight="1">
      <c r="A19" s="22" t="inlineStr">
        <is>
          <t>What's New</t>
        </is>
      </c>
      <c r="B19" s="23" t="inlineStr">
        <is>
          <t>Replacement before termination</t>
        </is>
      </c>
      <c r="C19" s="23" t="inlineStr">
        <is>
          <t>2023-10-23</t>
        </is>
      </c>
      <c r="D19" s="23" t="inlineStr">
        <is>
          <t>https://aws.amazon.com/about-aws/whats-new/2023/10/amazon-ecs-applications-resiliency-unpredictable-load-spikes/</t>
        </is>
      </c>
      <c r="E19" s="23" t="inlineStr">
        <is>
          <t>コンテナ検査と LB 検査の失敗に対し、代わりを先に起動する。</t>
        </is>
      </c>
      <c r="F19" s="23" t="inlineStr">
        <is>
          <t>高</t>
        </is>
      </c>
    </row>
    <row r="20" ht="38" customHeight="1">
      <c r="A20" s="22" t="inlineStr">
        <is>
          <t>What's New</t>
        </is>
      </c>
      <c r="B20" s="23" t="inlineStr">
        <is>
          <t>Lower circuit breaker minimum</t>
        </is>
      </c>
      <c r="C20" s="23" t="inlineStr">
        <is>
          <t>2024-01-08</t>
        </is>
      </c>
      <c r="D20" s="23" t="inlineStr">
        <is>
          <t>https://aws.amazon.com/about-aws/whats-new/2024/01/amazon-ecs-deployment-monitoring-responsiveness-services/</t>
        </is>
      </c>
      <c r="E20" s="23" t="inlineStr">
        <is>
          <t>下限10から3。desired 3 の例。</t>
        </is>
      </c>
      <c r="F20" s="23" t="inlineStr">
        <is>
          <t>高</t>
        </is>
      </c>
    </row>
    <row r="21" ht="53" customHeight="1">
      <c r="A21" s="24" t="inlineStr">
        <is>
          <t>ブログ</t>
        </is>
      </c>
      <c r="B21" s="25" t="inlineStr">
        <is>
          <t>Built-in blue/green</t>
        </is>
      </c>
      <c r="C21" s="25" t="inlineStr">
        <is>
          <t>2025-07-17</t>
        </is>
      </c>
      <c r="D21" s="25" t="inlineStr">
        <is>
          <t>https://aws.amazon.com/blogs/aws/accelerate-safe-software-releases-with-new-built-in-blue-green-deployments-in-amazon-ecs/</t>
        </is>
      </c>
      <c r="E21" s="25" t="inlineStr">
        <is>
          <t>bake time、ライフサイクルフック、ECS 戦略としての青緑。</t>
        </is>
      </c>
      <c r="F21" s="25" t="inlineStr">
        <is>
          <t>中</t>
        </is>
      </c>
    </row>
    <row r="22" ht="23" customHeight="1">
      <c r="A22" s="24" t="inlineStr">
        <is>
          <t>ガイド</t>
        </is>
      </c>
      <c r="B22" s="25" t="inlineStr">
        <is>
          <t>Availability Zone rebalancing</t>
        </is>
      </c>
      <c r="C22" s="25" t="inlineStr">
        <is>
          <t>新規作成の既定は 2025-09-05 以降</t>
        </is>
      </c>
      <c r="D22" s="25" t="inlineStr">
        <is>
          <t>Amazon ECS Developer Guide</t>
        </is>
      </c>
      <c r="E22" s="25" t="inlineStr">
        <is>
          <t>対象サービスの作成時、未指定なら ENABLED。</t>
        </is>
      </c>
      <c r="F22" s="25" t="inlineStr">
        <is>
          <t>中</t>
        </is>
      </c>
    </row>
    <row r="23" ht="23" customHeight="1">
      <c r="A23" s="24" t="inlineStr">
        <is>
          <t>What's New</t>
        </is>
      </c>
      <c r="B23" s="25" t="inlineStr">
        <is>
          <t>Container health metric</t>
        </is>
      </c>
      <c r="C23" s="25" t="inlineStr">
        <is>
          <t>2026-01-30</t>
        </is>
      </c>
      <c r="D23" s="25" t="inlineStr">
        <is>
          <t>What's New</t>
        </is>
      </c>
      <c r="E23" s="25" t="inlineStr">
        <is>
          <t>UnHealthyContainerHealthStatus。0 と 1。</t>
        </is>
      </c>
      <c r="F23" s="25" t="inlineStr">
        <is>
          <t>中</t>
        </is>
      </c>
    </row>
    <row r="24" ht="23" customHeight="1">
      <c r="A24" s="24" t="inlineStr">
        <is>
          <t>What's New</t>
        </is>
      </c>
      <c r="B24" s="25" t="inlineStr">
        <is>
          <t>Pause and continue deployments</t>
        </is>
      </c>
      <c r="C24" s="25" t="inlineStr">
        <is>
          <t>2026-05-19</t>
        </is>
      </c>
      <c r="D24" s="25" t="inlineStr">
        <is>
          <t>What's New</t>
        </is>
      </c>
      <c r="E24" s="25" t="inlineStr">
        <is>
          <t>PAUSE フック、最大14日、ContinueServiceDeployment。</t>
        </is>
      </c>
      <c r="F24" s="25" t="inlineStr">
        <is>
          <t>中</t>
        </is>
      </c>
    </row>
    <row r="25" ht="38" customHeight="1">
      <c r="A25" s="22" t="inlineStr">
        <is>
          <t>What's New</t>
        </is>
      </c>
      <c r="B25" s="23" t="inlineStr">
        <is>
          <t>Configurable circuit breaker</t>
        </is>
      </c>
      <c r="C25" s="23" t="inlineStr">
        <is>
          <t>2026-07-01</t>
        </is>
      </c>
      <c r="D25" s="23" t="inlineStr">
        <is>
          <t>https://aws.amazon.com/about-aws/whats-new/2026/07/amazon-ecs-circuit-breaker-settings/</t>
        </is>
      </c>
      <c r="E25" s="23" t="inlineStr">
        <is>
          <t>resetOnHealthyTask と thresholdConfiguration。既定は従来動作。</t>
        </is>
      </c>
      <c r="F25" s="23" t="inlineStr">
        <is>
          <t>高</t>
        </is>
      </c>
    </row>
    <row r="26" ht="38" customHeight="1">
      <c r="A26" s="24" t="inlineStr">
        <is>
          <t>What's New</t>
        </is>
      </c>
      <c r="B26" s="25" t="inlineStr">
        <is>
          <t>Agent connectivity health</t>
        </is>
      </c>
      <c r="C26" s="25" t="inlineStr">
        <is>
          <t>2026-08-24</t>
        </is>
      </c>
      <c r="D26" s="25" t="inlineStr">
        <is>
          <t>What's New</t>
        </is>
      </c>
      <c r="E26" s="25" t="inlineStr">
        <is>
          <t>アプリ検査とは別の接続健康。切断だけではコンテナを UNHEALTHY にしない仕様と併記する。</t>
        </is>
      </c>
      <c r="F26" s="25" t="inlineStr">
        <is>
          <t>中</t>
        </is>
      </c>
    </row>
    <row r="27" ht="38" customHeight="1">
      <c r="A27" s="22" t="inlineStr">
        <is>
          <t>API の注記</t>
        </is>
      </c>
      <c r="B27" s="23" t="inlineStr">
        <is>
          <t>猶予中でも desired 超過なら止め得る</t>
        </is>
      </c>
      <c r="C27" s="23" t="inlineStr">
        <is>
          <t>healthCheckGracePeriodSeconds の API 説明。確認 2026-10-02</t>
        </is>
      </c>
      <c r="D27" s="23" t="inlineStr">
        <is>
          <t>UpdateService のパラメータ説明</t>
        </is>
      </c>
      <c r="E27" s="23" t="inlineStr">
        <is>
          <t>猶予を絶対停止禁止と読まない根拠。</t>
        </is>
      </c>
      <c r="F27" s="23" t="inlineStr">
        <is>
          <t>高</t>
        </is>
      </c>
    </row>
    <row r="28" ht="38" customHeight="1">
      <c r="A28" s="24" t="inlineStr">
        <is>
          <t>Docker</t>
        </is>
      </c>
      <c r="B28" s="25" t="inlineStr">
        <is>
          <t>HEALTHCHECK と start period</t>
        </is>
      </c>
      <c r="C28" s="25" t="inlineStr">
        <is>
          <t>HEALTHCHECK は 2016-07-28 の 1.12。start period は 2017-05 の 17.05</t>
        </is>
      </c>
      <c r="D28" s="25" t="inlineStr">
        <is>
          <t>Docker エンジンのリリース</t>
        </is>
      </c>
      <c r="E28" s="25" t="inlineStr">
        <is>
          <t>ECS の検査モデルの前史。retries を連続失敗回数と読む根拠。</t>
        </is>
      </c>
      <c r="F28" s="25" t="inlineStr">
        <is>
          <t>中</t>
        </is>
      </c>
    </row>
  </sheetData>
  <autoFilter ref="A4:F28"/>
  <mergeCells count="2">
    <mergeCell ref="A2:F2"/>
    <mergeCell ref="A1:F1"/>
  </mergeCells>
  <printOptions horizontalCentered="1"/>
  <pageMargins left="0.4" right="0.4" top="0.7" bottom="0.55" header="0.28" footer="0.25"/>
  <pageSetup orientation="landscape" paperSize="8" fitToHeight="0" fitToWidth="1" pageOrder="downThenOver"/>
  <headerFooter>
    <oddHeader>&amp;L&amp;"Meiryo UI"&amp;9 ECS コンテナデプロイ  ヘルスチェック詳説&amp;C&amp;R&amp;"Meiryo UI"&amp;9 17_参照</oddHeader>
    <oddFooter>&amp;L&amp;"Meiryo UI"&amp;8 調査基準日 2026-10-02  公式ドキュメントに基づく解説  モノトーン / Meiryo UI&amp;R&amp;"Meiryo UI"&amp;8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ECS Health Check Analysis</dc:creator>
  <dc:title>ECSコンテナデプロイ ヘルスチェック完全解説</dc:title>
  <dc:description>調査基準日 2026-10-02。AWS公式ドキュメントに基づく解説。フォントは Meiryo UI。配色はモノトーン。</dc:description>
  <dc:subject>コンテナヘルスチェック、ALB、サービス設定、サーキットブレーカー、タスク置換</dc:subject>
  <dc:language>ja-JP</dc:language>
  <dcterms:created xsi:type="dcterms:W3CDTF">2026-10-02T00:00:00Z</dcterms:created>
  <dcterms:modified xsi:type="dcterms:W3CDTF">2026-10-01T20:16:36Z</dcterms:modified>
  <cp:category>技術解説</cp:category>
  <cp:keywords>Amazon ECS, ALB, health check, deployment circuit breaker, Meiryo UI</cp:keywords>
</cp:coreProperties>
</file>